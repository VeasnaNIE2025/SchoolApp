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asn\OneDrive\Desktop\"/>
    </mc:Choice>
  </mc:AlternateContent>
  <xr:revisionPtr revIDLastSave="0" documentId="13_ncr:1_{4093D249-7E6B-4AE7-80EF-D3F223429C0E}" xr6:coauthVersionLast="47" xr6:coauthVersionMax="47" xr10:uidLastSave="{00000000-0000-0000-0000-000000000000}"/>
  <bookViews>
    <workbookView xWindow="-120" yWindow="-120" windowWidth="21840" windowHeight="13020" xr2:uid="{9F5152DF-488E-4A7C-8429-F775A15F736B}"/>
  </bookViews>
  <sheets>
    <sheet name="Sheet1" sheetId="6" r:id="rId1"/>
    <sheet name="IF" sheetId="1" r:id="rId2"/>
    <sheet name="AND" sheetId="2" r:id="rId3"/>
    <sheet name="OR" sheetId="3" r:id="rId4"/>
    <sheet name=" NOT" sheetId="4" r:id="rId5"/>
    <sheet name="IFANDOR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G22" i="3"/>
  <c r="M16" i="4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K3" i="1"/>
  <c r="AJ3" i="1"/>
  <c r="I13" i="2"/>
  <c r="B10" i="5"/>
</calcChain>
</file>

<file path=xl/sharedStrings.xml><?xml version="1.0" encoding="utf-8"?>
<sst xmlns="http://schemas.openxmlformats.org/spreadsheetml/2006/main" count="416" uniqueCount="190">
  <si>
    <t>No</t>
  </si>
  <si>
    <t>Name</t>
  </si>
  <si>
    <t>Score</t>
  </si>
  <si>
    <t>Result</t>
  </si>
  <si>
    <t>AN THYDA</t>
  </si>
  <si>
    <t>BE CHANTR</t>
  </si>
  <si>
    <t>SI MAKA</t>
  </si>
  <si>
    <t>KEO RAKSMEY</t>
  </si>
  <si>
    <t>DA TILA</t>
  </si>
  <si>
    <t>HOR MAKARA</t>
  </si>
  <si>
    <t>ប្រសិនបើពិន្ទុ ធំជាងឬស្មើ ១១ ជាប់ ក្រោមនេះគឺធ្លាក់</t>
  </si>
  <si>
    <t>Mention</t>
  </si>
  <si>
    <t>Sex</t>
  </si>
  <si>
    <t>Address</t>
  </si>
  <si>
    <t>Bonus Salary</t>
  </si>
  <si>
    <t>M</t>
  </si>
  <si>
    <t>F</t>
  </si>
  <si>
    <t>Takeo</t>
  </si>
  <si>
    <t>Phnom Penh</t>
  </si>
  <si>
    <t>kg chhnang</t>
  </si>
  <si>
    <t>បើបុគ្គលិកភេទប្រុស និងនៅភ្នំពេញបន្ថែមប្រាក់ជូន 15$</t>
  </si>
  <si>
    <t>បើបុគ្គលិកភេទស្រី និងនៅភ្នំពេញបន្ថែមប្រាក់ជូន 20$</t>
  </si>
  <si>
    <t>បើពិន្ទុធំជាងឬស្មើ 50 ជាប់ ក្រៅពីនេះគឺធ្លាក់</t>
  </si>
  <si>
    <t>Math</t>
  </si>
  <si>
    <t>Khmer</t>
  </si>
  <si>
    <t>បើ Khmer និង Math ធំជាងឬស្មើ 50 ពិត ក្រៅពីនេះគឺមិនពិត</t>
  </si>
  <si>
    <t>A</t>
  </si>
  <si>
    <t>B</t>
  </si>
  <si>
    <t>OR</t>
  </si>
  <si>
    <t>បើ A ឬ B &gt;= 50 ពិត ក្រៅពីនេះគឺមិនពិត</t>
  </si>
  <si>
    <t>លទ្ធផល</t>
  </si>
  <si>
    <t>Book Name</t>
  </si>
  <si>
    <t>BookI</t>
  </si>
  <si>
    <t>HeadwayII</t>
  </si>
  <si>
    <t>NewspersonII</t>
  </si>
  <si>
    <t>Salary</t>
  </si>
  <si>
    <t>បើគ្រូបង្រៀនសៀវភៅ BookI,Headway,NewspersonI ទទួលបានប្រាក់ខែ 60$</t>
  </si>
  <si>
    <t>បើគ្រូបង្រៀនសៀវភៅ BookII,HeadwayII,NewspersonII ទទួលបានប្រាក់ខែ 90$</t>
  </si>
  <si>
    <t>បើគ្រូបង្រៀនសៀវភៅ BookIII,HeadwayIII,NewspersonIII ទទួលបានប្រាក់ខែ 100$</t>
  </si>
  <si>
    <t>NewspersonIII</t>
  </si>
  <si>
    <t>Formula</t>
  </si>
  <si>
    <t>=NOT(D4&gt;50)</t>
  </si>
  <si>
    <t>=NOT(D5&gt;50)</t>
  </si>
  <si>
    <t>=NOT(4=4-2)</t>
  </si>
  <si>
    <t>=NOT(4=4+2)</t>
  </si>
  <si>
    <t>ការប្រើជាមួយ IF</t>
  </si>
  <si>
    <t>បន្ថែមប្រាក់ខែជូនបុគ្គលិកដែលមិនមានទីលំនៅនៅភ្នំពេញចំនួន 20$</t>
  </si>
  <si>
    <t>Amout of Student</t>
  </si>
  <si>
    <t>BookIII</t>
  </si>
  <si>
    <t>បើគ្រូបង្រៀនសៀវភៅ BookI,HeadwayI,NewspersonI ហើយមានសិស្សចាប់ពី ១០ ទៅ​ ៣០ នាក់ទទួលបានប្រាក់ខែ 50$</t>
  </si>
  <si>
    <t>បើគ្រូបង្រៀនសៀវភៅ BookI,HeadwayI,NewspersonI ហើយមានសិស្សលើសពី ៣០ នាក់ឡើងទៅទទួលបានប្រាក់ខែ80$</t>
  </si>
  <si>
    <t>បើគ្រូបង្រៀនសៀវភៅ BookII,HeadwayII,NewspersonII ហើយមានសិស្សចាប់ពី ១០ ទៅ​ ៣០ នាក់ទទួលបានប្រាក់ខែ 60$</t>
  </si>
  <si>
    <t>បើគ្រូបង្រៀនសៀវភៅ BookII,HeadwayII,NewspersonII ហើយមានសិស្សលើសពី ៣០ នាក់ឡើងទៅទទួលបានប្រាក់ខែ 90$</t>
  </si>
  <si>
    <t>បើគ្រូបង្រៀនសៀវភៅ BookIII,HeadwayIII,NewspersonIII ហើយមានសិស្សចាប់ពី ១០ ទៅ​ ៣០ នាក់ឡើងទៅទទួលបានប្រាក់ខែ 70$</t>
  </si>
  <si>
    <t>បើគ្រូបង្រៀនសៀវភៅ BookIII,HeadwayIII,NewspersonIII ហើយមានសិស្សលើសពី ៣០ នាក់ឡើងទៅទទួលបានប្រាក់ខែ 100$</t>
  </si>
  <si>
    <t>English</t>
  </si>
  <si>
    <t>រូបមន្ដ</t>
  </si>
  <si>
    <t>ក្រៅពីនេះគឺ 0</t>
  </si>
  <si>
    <t>&gt;</t>
  </si>
  <si>
    <t>ធំជាង</t>
  </si>
  <si>
    <t>&lt;</t>
  </si>
  <si>
    <t>តូចជាង</t>
  </si>
  <si>
    <t>&gt;=</t>
  </si>
  <si>
    <t>ធំជាងឬស្មើ</t>
  </si>
  <si>
    <t>&lt;=</t>
  </si>
  <si>
    <t>តូចជាងឬស្មើ</t>
  </si>
  <si>
    <t>&lt;&gt;</t>
  </si>
  <si>
    <t>ខុស​ពី</t>
  </si>
  <si>
    <t>និមិត្តសញ្ញា</t>
  </si>
  <si>
    <t>និយមន័យ</t>
  </si>
  <si>
    <t>Formular</t>
  </si>
  <si>
    <t>RI Naka</t>
  </si>
  <si>
    <t>ការប្រើ if ច្រើនជាន់</t>
  </si>
  <si>
    <t>ល.រ</t>
  </si>
  <si>
    <t>គោត្តនាម និងនាម</t>
  </si>
  <si>
    <t>ភេទ</t>
  </si>
  <si>
    <t>ថ្នាក់</t>
  </si>
  <si>
    <t>ខ្មែរ</t>
  </si>
  <si>
    <t>គណិត</t>
  </si>
  <si>
    <t>រូប</t>
  </si>
  <si>
    <t>គីមី</t>
  </si>
  <si>
    <t>ជីវ</t>
  </si>
  <si>
    <t>ផែនដី</t>
  </si>
  <si>
    <t>ប្រវត្តិ</t>
  </si>
  <si>
    <t>ភូមិ</t>
  </si>
  <si>
    <t>សីលធម៌</t>
  </si>
  <si>
    <t>អង់គ្លេស</t>
  </si>
  <si>
    <t>សុខ.សិក្សា</t>
  </si>
  <si>
    <t>កីឡា</t>
  </si>
  <si>
    <t>កុំព្យូទ័រ</t>
  </si>
  <si>
    <t>ប្រឹក្សា</t>
  </si>
  <si>
    <t>បរិស្ថាន</t>
  </si>
  <si>
    <t>កុំរី ណូរីណាអារីហ្វាស់</t>
  </si>
  <si>
    <t>ស</t>
  </si>
  <si>
    <t>11B</t>
  </si>
  <si>
    <t>គង់ គីមហុង</t>
  </si>
  <si>
    <t>ឃុត ខនដាឡែន</t>
  </si>
  <si>
    <t>ឃៀង សុវណ្ណារី</t>
  </si>
  <si>
    <t>ឆុន នីដាណេ</t>
  </si>
  <si>
    <t>ឈួន ពិសី</t>
  </si>
  <si>
    <t>ប</t>
  </si>
  <si>
    <t>ណម វណ្ណៈ</t>
  </si>
  <si>
    <t>ណាវី អាមីណា</t>
  </si>
  <si>
    <t>តាន់ ឯកសុភ័ក្ត្រមុនី</t>
  </si>
  <si>
    <t>ថុល សីហា</t>
  </si>
  <si>
    <t>ទូច សំណាង</t>
  </si>
  <si>
    <t>នាង ចំណាន</t>
  </si>
  <si>
    <t>ភន ម៉ារីឌី</t>
  </si>
  <si>
    <t>ភ្លី សូហ្វាហានី</t>
  </si>
  <si>
    <t>ម៉ាច ដាលីន</t>
  </si>
  <si>
    <t>ម៉ាត់ ស៊ុលហៃម៉ី</t>
  </si>
  <si>
    <t>ម៉ាត់ សុភត្រា</t>
  </si>
  <si>
    <t>ម៉ាន ដារ៉ន</t>
  </si>
  <si>
    <t>ម៉ាន ណារ៉ុង</t>
  </si>
  <si>
    <t>ម៉ាន រ៉ាហ្វាត</t>
  </si>
  <si>
    <t>រិទ្ធ រ៉ូហ្សា</t>
  </si>
  <si>
    <t>រិន ម៉ារ៉ានរល័ក្ខ</t>
  </si>
  <si>
    <t>រុន សកនា</t>
  </si>
  <si>
    <t>លាស់ ឆាលី</t>
  </si>
  <si>
    <t>លាស់ សុខហួ</t>
  </si>
  <si>
    <t>លាស់ ស្រីអាំ</t>
  </si>
  <si>
    <t>លី ផាត់ធីម</t>
  </si>
  <si>
    <t>លី ព្រហ៊ីម</t>
  </si>
  <si>
    <t>លី ហារី</t>
  </si>
  <si>
    <t>លីម សានីតា</t>
  </si>
  <si>
    <t>វន ពុទ្ធិសក្តិ</t>
  </si>
  <si>
    <t>វ៉ាន រតនា</t>
  </si>
  <si>
    <t>ស ចរិយា</t>
  </si>
  <si>
    <t>សា ផាវី</t>
  </si>
  <si>
    <t>សាម៉េត រ៉ាយុ</t>
  </si>
  <si>
    <t>សឹម អាលីហ្សា</t>
  </si>
  <si>
    <t>សុខ យូសុះ</t>
  </si>
  <si>
    <t>សុង សេងនីសា</t>
  </si>
  <si>
    <t>សុះ តេសស្នីម</t>
  </si>
  <si>
    <t>សែម វត្តី</t>
  </si>
  <si>
    <t>ហ៊ន ធារី</t>
  </si>
  <si>
    <t>ហ៊ឺន ស្រីនាង</t>
  </si>
  <si>
    <t>ហុង សុគន្ធ</t>
  </si>
  <si>
    <t>ហុន យ៉ាវឌ្ឍនា</t>
  </si>
  <si>
    <t>ហួន ស៊ូម៉ី</t>
  </si>
  <si>
    <t>ហេង សឿនច័ន្ទថាវី</t>
  </si>
  <si>
    <t>ហោ គីមហួយ</t>
  </si>
  <si>
    <t>ឡាក់ ថៃម៉េងឆៃ</t>
  </si>
  <si>
    <t>ឡោះ នីស៊ា</t>
  </si>
  <si>
    <t>ឯល ណាពីឡា</t>
  </si>
  <si>
    <t>ឯល ហ្វារីត</t>
  </si>
  <si>
    <t>អ៊ន មិញហួយ</t>
  </si>
  <si>
    <t>អ៊ឹម សុភាវីត</t>
  </si>
  <si>
    <t>អុន សុថាវី</t>
  </si>
  <si>
    <t>អូន ពិសី</t>
  </si>
  <si>
    <t>យូសុះ ណាវី</t>
  </si>
  <si>
    <t>អាប់ឌុលរ៉ះម៉ាន់ 
នោអាស៊ីរ៉ាហ្វាស៊ីរ៉ា</t>
  </si>
  <si>
    <t>ពិន្ទុសរុប</t>
  </si>
  <si>
    <t>មធ្យុមភាគ</t>
  </si>
  <si>
    <t>និទ្ទេស</t>
  </si>
  <si>
    <t>&lt;=28</t>
  </si>
  <si>
    <t>E</t>
  </si>
  <si>
    <t>&lt;=31</t>
  </si>
  <si>
    <t>D</t>
  </si>
  <si>
    <t>&lt;=38</t>
  </si>
  <si>
    <t>C</t>
  </si>
  <si>
    <t>&lt;=41</t>
  </si>
  <si>
    <t>&gt;=41</t>
  </si>
  <si>
    <t>&gt;=38</t>
  </si>
  <si>
    <t>&gt;=31</t>
  </si>
  <si>
    <t>&gt;=28</t>
  </si>
  <si>
    <t>&lt;25</t>
  </si>
  <si>
    <t>&gt;=25</t>
  </si>
  <si>
    <t>ការប្រើប្រាស់ជាមួយ if</t>
  </si>
  <si>
    <t>Score1</t>
  </si>
  <si>
    <t>Score2</t>
  </si>
  <si>
    <t>ការប្រើប្រាស់ជាមួយ​ IF ដើម្បីបង្ហាញជាប់ធ្លាក់</t>
  </si>
  <si>
    <t>Score1 &gt;=50</t>
  </si>
  <si>
    <t xml:space="preserve">Score2&gt;=50 </t>
  </si>
  <si>
    <t>Pass</t>
  </si>
  <si>
    <t>A&gt;=50,B&gt;=50 Pass</t>
  </si>
  <si>
    <t xml:space="preserve">English </t>
  </si>
  <si>
    <t>លក្ខខណ្ឌ  សិស្សជា​ប់លុះត្រា</t>
  </si>
  <si>
    <t xml:space="preserve">Math &gt;= 50 និង </t>
  </si>
  <si>
    <t>English &gt;=50 ឬ Math &gt;=80</t>
  </si>
  <si>
    <t>បើមិនដូចច្នេះទេ  ធ្លាក់</t>
  </si>
  <si>
    <t>P</t>
  </si>
  <si>
    <t>Q</t>
  </si>
  <si>
    <t>P/\Q</t>
  </si>
  <si>
    <t>P \/Q</t>
  </si>
  <si>
    <t>&gt;=42</t>
  </si>
  <si>
    <t>KC</t>
  </si>
  <si>
    <t>TK</t>
  </si>
  <si>
    <t>ទម្រង់ធំជាង</t>
  </si>
  <si>
    <t>ទម្រង់តូចជាង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</si>
</sst>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53]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4"/>
      <color theme="0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6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0"/>
      <name val="Times New Roman"/>
      <family val="1"/>
    </font>
    <font>
      <sz val="20"/>
      <color theme="1"/>
      <name val="Times New Roman"/>
      <family val="1"/>
    </font>
    <font>
      <sz val="12"/>
      <color theme="1"/>
      <name val="Khmer OS Siemreap"/>
    </font>
    <font>
      <sz val="11"/>
      <color theme="0"/>
      <name val="Aptos Narrow"/>
      <family val="2"/>
      <scheme val="minor"/>
    </font>
    <font>
      <sz val="11"/>
      <color theme="1"/>
      <name val="Khmer OS Siemreap"/>
    </font>
    <font>
      <sz val="12"/>
      <color rgb="FFFF0000"/>
      <name val="Khmer OS Siemreap"/>
    </font>
    <font>
      <sz val="12"/>
      <color theme="0"/>
      <name val="Khmer OS Siemreap"/>
    </font>
    <font>
      <sz val="14"/>
      <color theme="1"/>
      <name val="Aptos Narrow"/>
      <family val="2"/>
      <scheme val="minor"/>
    </font>
    <font>
      <sz val="16"/>
      <color theme="1"/>
      <name val="Khmer OS Siemreap"/>
    </font>
    <font>
      <sz val="22"/>
      <color theme="1"/>
      <name val="Times New Roman"/>
      <family val="1"/>
    </font>
    <font>
      <sz val="22"/>
      <color theme="0"/>
      <name val="Times New Roman"/>
      <family val="1"/>
    </font>
    <font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5" fillId="0" borderId="1" xfId="0" applyFont="1" applyBorder="1"/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7" fillId="0" borderId="1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/>
    <xf numFmtId="0" fontId="14" fillId="0" borderId="1" xfId="0" applyFont="1" applyBorder="1" applyAlignment="1">
      <alignment horizontal="left" indent="1"/>
    </xf>
    <xf numFmtId="0" fontId="15" fillId="2" borderId="1" xfId="0" applyFont="1" applyFill="1" applyBorder="1" applyAlignment="1">
      <alignment horizontal="center" vertical="center"/>
    </xf>
    <xf numFmtId="0" fontId="0" fillId="0" borderId="1" xfId="0" applyBorder="1"/>
    <xf numFmtId="0" fontId="16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2" fillId="0" borderId="0" xfId="0" applyFont="1"/>
    <xf numFmtId="0" fontId="9" fillId="0" borderId="0" xfId="0" applyFont="1"/>
    <xf numFmtId="0" fontId="3" fillId="0" borderId="0" xfId="0" applyFont="1"/>
    <xf numFmtId="0" fontId="9" fillId="2" borderId="1" xfId="0" applyFont="1" applyFill="1" applyBorder="1"/>
    <xf numFmtId="0" fontId="7" fillId="0" borderId="1" xfId="0" applyFont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19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/>
    <xf numFmtId="0" fontId="2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1" fillId="2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2.xml"/><Relationship Id="rId33" Type="http://schemas.openxmlformats.org/officeDocument/2006/relationships/customXml" Target="../ink/ink15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customXml" Target="../ink/ink14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1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3.xml"/><Relationship Id="rId35" Type="http://schemas.openxmlformats.org/officeDocument/2006/relationships/customXml" Target="../ink/ink1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378470</xdr:colOff>
      <xdr:row>6</xdr:row>
      <xdr:rowOff>162720</xdr:rowOff>
    </xdr:from>
    <xdr:to>
      <xdr:col>11</xdr:col>
      <xdr:colOff>588350</xdr:colOff>
      <xdr:row>6</xdr:row>
      <xdr:rowOff>383040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D169789E-929D-03E4-A016-31F1D9472A6A}"/>
                </a:ext>
              </a:extLst>
            </xdr14:cNvPr>
            <xdr14:cNvContentPartPr/>
          </xdr14:nvContentPartPr>
          <xdr14:nvPr macro=""/>
          <xdr14:xfrm>
            <a:off x="10603266" y="1437904"/>
            <a:ext cx="209880" cy="2203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D169789E-929D-03E4-A016-31F1D9472A6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597146" y="1431784"/>
              <a:ext cx="22212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85197</xdr:colOff>
      <xdr:row>6</xdr:row>
      <xdr:rowOff>147672</xdr:rowOff>
    </xdr:from>
    <xdr:to>
      <xdr:col>8</xdr:col>
      <xdr:colOff>345837</xdr:colOff>
      <xdr:row>6</xdr:row>
      <xdr:rowOff>388512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6583B907-D3A7-2BBF-A7BB-14A6502EEE73}"/>
                </a:ext>
              </a:extLst>
            </xdr14:cNvPr>
            <xdr14:cNvContentPartPr/>
          </xdr14:nvContentPartPr>
          <xdr14:nvPr macro=""/>
          <xdr14:xfrm>
            <a:off x="7755738" y="1422856"/>
            <a:ext cx="260640" cy="2408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6583B907-D3A7-2BBF-A7BB-14A6502EEE7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7749618" y="1416736"/>
              <a:ext cx="2728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158637</xdr:colOff>
      <xdr:row>6</xdr:row>
      <xdr:rowOff>166752</xdr:rowOff>
    </xdr:from>
    <xdr:to>
      <xdr:col>8</xdr:col>
      <xdr:colOff>326397</xdr:colOff>
      <xdr:row>6</xdr:row>
      <xdr:rowOff>334512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CAD1C82-400C-C074-8A7D-5DF02E439440}"/>
                </a:ext>
              </a:extLst>
            </xdr14:cNvPr>
            <xdr14:cNvContentPartPr/>
          </xdr14:nvContentPartPr>
          <xdr14:nvPr macro=""/>
          <xdr14:xfrm>
            <a:off x="7829178" y="1441936"/>
            <a:ext cx="167760" cy="1677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CAD1C82-400C-C074-8A7D-5DF02E43944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823058" y="1435816"/>
              <a:ext cx="18000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353757</xdr:colOff>
      <xdr:row>6</xdr:row>
      <xdr:rowOff>147672</xdr:rowOff>
    </xdr:from>
    <xdr:to>
      <xdr:col>8</xdr:col>
      <xdr:colOff>393357</xdr:colOff>
      <xdr:row>6</xdr:row>
      <xdr:rowOff>380592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1AA22F9-FB9C-95F2-8AD4-B85FC8BE7A5B}"/>
                </a:ext>
              </a:extLst>
            </xdr14:cNvPr>
            <xdr14:cNvContentPartPr/>
          </xdr14:nvContentPartPr>
          <xdr14:nvPr macro=""/>
          <xdr14:xfrm>
            <a:off x="8024298" y="1422856"/>
            <a:ext cx="39600" cy="232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E1AA22F9-FB9C-95F2-8AD4-B85FC8BE7A5B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018178" y="1416736"/>
              <a:ext cx="51840" cy="24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408062</xdr:colOff>
      <xdr:row>7</xdr:row>
      <xdr:rowOff>128260</xdr:rowOff>
    </xdr:from>
    <xdr:to>
      <xdr:col>11</xdr:col>
      <xdr:colOff>577622</xdr:colOff>
      <xdr:row>7</xdr:row>
      <xdr:rowOff>308980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B2EF2D11-6BC5-11F4-32B4-86AC975024E8}"/>
                </a:ext>
              </a:extLst>
            </xdr14:cNvPr>
            <xdr14:cNvContentPartPr/>
          </xdr14:nvContentPartPr>
          <xdr14:nvPr macro=""/>
          <xdr14:xfrm>
            <a:off x="10632858" y="1850536"/>
            <a:ext cx="169560" cy="1807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2EF2D11-6BC5-11F4-32B4-86AC975024E8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626738" y="1844416"/>
              <a:ext cx="1818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465662</xdr:colOff>
      <xdr:row>8</xdr:row>
      <xdr:rowOff>155502</xdr:rowOff>
    </xdr:from>
    <xdr:to>
      <xdr:col>11</xdr:col>
      <xdr:colOff>477542</xdr:colOff>
      <xdr:row>8</xdr:row>
      <xdr:rowOff>302382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26ADABA8-8CA3-1196-0727-CC91BE227ED3}"/>
                </a:ext>
              </a:extLst>
            </xdr14:cNvPr>
            <xdr14:cNvContentPartPr/>
          </xdr14:nvContentPartPr>
          <xdr14:nvPr macro=""/>
          <xdr14:xfrm>
            <a:off x="10690458" y="2278216"/>
            <a:ext cx="11880" cy="1468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26ADABA8-8CA3-1196-0727-CC91BE227ED3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684338" y="2272096"/>
              <a:ext cx="2412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454502</xdr:colOff>
      <xdr:row>8</xdr:row>
      <xdr:rowOff>157662</xdr:rowOff>
    </xdr:from>
    <xdr:to>
      <xdr:col>11</xdr:col>
      <xdr:colOff>673022</xdr:colOff>
      <xdr:row>8</xdr:row>
      <xdr:rowOff>339822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7AC7717E-EC44-8CF6-EE28-FE8FCD793CFB}"/>
                </a:ext>
              </a:extLst>
            </xdr14:cNvPr>
            <xdr14:cNvContentPartPr/>
          </xdr14:nvContentPartPr>
          <xdr14:nvPr macro=""/>
          <xdr14:xfrm>
            <a:off x="10679298" y="2280376"/>
            <a:ext cx="218520" cy="1821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7AC7717E-EC44-8CF6-EE28-FE8FCD793CF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673178" y="2274256"/>
              <a:ext cx="2307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350462</xdr:colOff>
      <xdr:row>9</xdr:row>
      <xdr:rowOff>158983</xdr:rowOff>
    </xdr:from>
    <xdr:to>
      <xdr:col>11</xdr:col>
      <xdr:colOff>538382</xdr:colOff>
      <xdr:row>9</xdr:row>
      <xdr:rowOff>351583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0B9FC2E-513B-9EAE-C0BE-8B1718B1CB07}"/>
                </a:ext>
              </a:extLst>
            </xdr14:cNvPr>
            <xdr14:cNvContentPartPr/>
          </xdr14:nvContentPartPr>
          <xdr14:nvPr macro=""/>
          <xdr14:xfrm>
            <a:off x="10575258" y="2682136"/>
            <a:ext cx="187920" cy="1926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0B9FC2E-513B-9EAE-C0BE-8B1718B1CB07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0569138" y="2676016"/>
              <a:ext cx="20016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404102</xdr:colOff>
      <xdr:row>10</xdr:row>
      <xdr:rowOff>121424</xdr:rowOff>
    </xdr:from>
    <xdr:to>
      <xdr:col>11</xdr:col>
      <xdr:colOff>546302</xdr:colOff>
      <xdr:row>10</xdr:row>
      <xdr:rowOff>320144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A58177A-4EEF-D167-13BD-211B19914BE5}"/>
                </a:ext>
              </a:extLst>
            </xdr14:cNvPr>
            <xdr14:cNvContentPartPr/>
          </xdr14:nvContentPartPr>
          <xdr14:nvPr macro=""/>
          <xdr14:xfrm>
            <a:off x="10628898" y="3045016"/>
            <a:ext cx="142200" cy="1987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A58177A-4EEF-D167-13BD-211B19914BE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0622778" y="3038896"/>
              <a:ext cx="15444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503643</xdr:colOff>
      <xdr:row>7</xdr:row>
      <xdr:rowOff>149718</xdr:rowOff>
    </xdr:from>
    <xdr:to>
      <xdr:col>15</xdr:col>
      <xdr:colOff>523443</xdr:colOff>
      <xdr:row>7</xdr:row>
      <xdr:rowOff>389478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08D59058-A7E6-89B8-B5BC-16C6A25DF345}"/>
                </a:ext>
              </a:extLst>
            </xdr14:cNvPr>
            <xdr14:cNvContentPartPr/>
          </xdr14:nvContentPartPr>
          <xdr14:nvPr macro=""/>
          <xdr14:xfrm>
            <a:off x="14254633" y="1871994"/>
            <a:ext cx="19800" cy="2397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08D59058-A7E6-89B8-B5BC-16C6A25DF34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14248513" y="1865874"/>
              <a:ext cx="3204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462603</xdr:colOff>
      <xdr:row>8</xdr:row>
      <xdr:rowOff>147440</xdr:rowOff>
    </xdr:from>
    <xdr:to>
      <xdr:col>15</xdr:col>
      <xdr:colOff>513723</xdr:colOff>
      <xdr:row>8</xdr:row>
      <xdr:rowOff>357320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4DE214A-73F6-7272-0E11-18ADC28B1F9D}"/>
                </a:ext>
              </a:extLst>
            </xdr14:cNvPr>
            <xdr14:cNvContentPartPr/>
          </xdr14:nvContentPartPr>
          <xdr14:nvPr macro=""/>
          <xdr14:xfrm>
            <a:off x="14213593" y="2270154"/>
            <a:ext cx="51120" cy="209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4DE214A-73F6-7272-0E11-18ADC28B1F9D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4207473" y="2264034"/>
              <a:ext cx="6336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327603</xdr:colOff>
      <xdr:row>9</xdr:row>
      <xdr:rowOff>113481</xdr:rowOff>
    </xdr:from>
    <xdr:to>
      <xdr:col>15</xdr:col>
      <xdr:colOff>556923</xdr:colOff>
      <xdr:row>9</xdr:row>
      <xdr:rowOff>264681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678D5501-9C7C-5C1F-90D3-F7AB2DD0E7D9}"/>
                </a:ext>
              </a:extLst>
            </xdr14:cNvPr>
            <xdr14:cNvContentPartPr/>
          </xdr14:nvContentPartPr>
          <xdr14:nvPr macro=""/>
          <xdr14:xfrm>
            <a:off x="14078593" y="2636634"/>
            <a:ext cx="229320" cy="1512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678D5501-9C7C-5C1F-90D3-F7AB2DD0E7D9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4072473" y="2630514"/>
              <a:ext cx="241560" cy="16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509043</xdr:colOff>
      <xdr:row>10</xdr:row>
      <xdr:rowOff>157282</xdr:rowOff>
    </xdr:from>
    <xdr:to>
      <xdr:col>15</xdr:col>
      <xdr:colOff>632883</xdr:colOff>
      <xdr:row>10</xdr:row>
      <xdr:rowOff>323602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08BB33AD-C611-8A29-336B-37E22176E0AF}"/>
                </a:ext>
              </a:extLst>
            </xdr14:cNvPr>
            <xdr14:cNvContentPartPr/>
          </xdr14:nvContentPartPr>
          <xdr14:nvPr macro=""/>
          <xdr14:xfrm>
            <a:off x="14260033" y="3080874"/>
            <a:ext cx="123840" cy="1663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08BB33AD-C611-8A29-336B-37E22176E0A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4253913" y="3074754"/>
              <a:ext cx="13608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201782</xdr:colOff>
      <xdr:row>6</xdr:row>
      <xdr:rowOff>108650</xdr:rowOff>
    </xdr:from>
    <xdr:to>
      <xdr:col>18</xdr:col>
      <xdr:colOff>381782</xdr:colOff>
      <xdr:row>6</xdr:row>
      <xdr:rowOff>120170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B1A78415-A099-4531-4185-DC83F540B201}"/>
                </a:ext>
              </a:extLst>
            </xdr14:cNvPr>
            <xdr14:cNvContentPartPr/>
          </xdr14:nvContentPartPr>
          <xdr14:nvPr macro=""/>
          <xdr14:xfrm>
            <a:off x="16145466" y="1383834"/>
            <a:ext cx="180000" cy="115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B1A78415-A099-4531-4185-DC83F540B20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6139346" y="1377714"/>
              <a:ext cx="192240" cy="2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170822</xdr:colOff>
      <xdr:row>7</xdr:row>
      <xdr:rowOff>116598</xdr:rowOff>
    </xdr:from>
    <xdr:to>
      <xdr:col>18</xdr:col>
      <xdr:colOff>369182</xdr:colOff>
      <xdr:row>7</xdr:row>
      <xdr:rowOff>323598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8DE9891-66CD-B879-8836-0494477F7786}"/>
                </a:ext>
              </a:extLst>
            </xdr14:cNvPr>
            <xdr14:cNvContentPartPr/>
          </xdr14:nvContentPartPr>
          <xdr14:nvPr macro=""/>
          <xdr14:xfrm>
            <a:off x="16114506" y="1838874"/>
            <a:ext cx="198360" cy="2070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98DE9891-66CD-B879-8836-0494477F7786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6108386" y="1832754"/>
              <a:ext cx="21060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198182</xdr:colOff>
      <xdr:row>8</xdr:row>
      <xdr:rowOff>127640</xdr:rowOff>
    </xdr:from>
    <xdr:to>
      <xdr:col>18</xdr:col>
      <xdr:colOff>320582</xdr:colOff>
      <xdr:row>8</xdr:row>
      <xdr:rowOff>311240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7FFCD22-0133-1481-A5FE-AEBC23956276}"/>
                </a:ext>
              </a:extLst>
            </xdr14:cNvPr>
            <xdr14:cNvContentPartPr/>
          </xdr14:nvContentPartPr>
          <xdr14:nvPr macro=""/>
          <xdr14:xfrm>
            <a:off x="16141866" y="2250354"/>
            <a:ext cx="122400" cy="1836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7FFCD22-0133-1481-A5FE-AEBC2395627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6135746" y="2244234"/>
              <a:ext cx="134640" cy="19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144780</xdr:rowOff>
    </xdr:from>
    <xdr:to>
      <xdr:col>2</xdr:col>
      <xdr:colOff>1811204</xdr:colOff>
      <xdr:row>11</xdr:row>
      <xdr:rowOff>173087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070602-6F17-8A23-F659-0B97C80B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63040"/>
          <a:ext cx="3609524" cy="2142857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3:40.2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29 520 24575,'58'-108'0,"47"-102"0,-69 103 0,-34 99 0,1-1 0,-2 0 0,1 0 0,-1 0 0,0 0 0,-1 0 0,0 0 0,-2-14 0,28 93 0,2-1 0,52 89 0,-43-87 0,-27-53 0,2 0 0,18 23 0,13 17 0,-21-25-557,29 32 0,-49-62 306,4 3-6575</inkml:trace>
  <inkml:trace contextRef="#ctx0" brushRef="#br0" timeOffset="2256.6">40 455 24575,'0'2'0,"-2"2"0,-3 3 0,1 1 0,-1 2 0,0-1 0,1 0 0,-2 0 0,1 0 0,2-1-8191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00.50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87 0 24575,'-15'31'0,"1"1"0,2 1 0,1 0 0,2 0 0,1 1 0,1 0 0,2 0 0,-1 67 0,7-76 0,1-1 0,1 0 0,1 0 0,1-1 0,1 1 0,1-1 0,1-1 0,1 1 0,13 21 0,-6-8-1365,-10-25-5461</inkml:trace>
  <inkml:trace contextRef="#ctx0" brushRef="#br0" timeOffset="1794.25">249 87 24575,'23'14'0,"-1"2"0,0 0 0,-1 2 0,-1 0 0,-1 1 0,33 43 0,-16-20 0,206 252 0,-242-293-89,0 0 58,1-1 0,-1 1 0,0-1 0,0 1 0,0-1-1,1 1 1,-1-1 0,0 1 0,0-1 0,1 0 0,-1 1 0,0-1 0,1 1-1,-1-1 1,0 0 0,1 1 0,-1-1 0,1 0 0,-1 0 0,1 1 0,-1-1-1,0 0 1,1 0 0,-1 0 0,1 1 0,-1-1 0,1 0 0,-1 0 0,1 0-1,-1 0 1,1 0 0,0 0 0,-1 0 0,1 0 0,-1 0 0,1 0-1,-1 0 1,1-1 0,-1 1 0,1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04.5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466 0 23892,'-465'465'0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07.2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108 0 24575,'1'97'0,"-2"105"0,0-179 0,-1 1 0,-1 0 0,-2-1 0,0 1 0,-1-1 0,-1-1 0,-1 1 0,-21 39 0,20-47-341,2 0 0,0 1-1,-9 28 1,14-35-6485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19.0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151 0 24575,'-17'21'0,"0"1"0,1 0 0,1 1 0,-17 35 0,-10 15 0,40-70 0,1 0 0,-1 0 0,1 0 0,0 0 0,0 0 0,0 1 0,0-1 0,0 0 0,1 0 0,-1 1 0,1-1 0,0 0 0,0 0 0,0 1 0,1-1 0,-1 0 0,1 1 0,0-1 0,0 0 0,0 0 0,0 0 0,0 0 0,3 4 0,4 6 0,0 0 0,1-1 0,21 22 0,-2-1 0,-22-25 0,0-1 0,0 1 0,1-1 0,0 0 0,0-1 0,1 0 0,-1 0 0,1 0 0,1-1 0,-1 0 0,1-1 0,0 0 0,0 0 0,0-1 0,0 0 0,1-1 0,-1 0 0,1 0 0,0-1 0,-1-1 0,1 1 0,0-1 0,0-1 0,-1 0 0,14-3 0,-17 3 0,5 0 0,-1-1 0,0 0 0,0-1 0,18-7 0,-25 9 0,0-1 0,0 0 0,-1 1 0,1-1 0,-1 0 0,0 0 0,1-1 0,-1 1 0,0 0 0,0-1 0,0 1 0,-1-1 0,1 0 0,0 1 0,-1-1 0,0 0 0,0 0 0,0 0 0,0 0 0,1-6 0,4-26 0,13-96 0,-18 115 0,-1-1 0,0 1 0,-1 0 0,-1-1 0,0 1 0,-5-16 0,4 25 5,0 1-1,0-1 0,0 1 0,-1 0 1,1-1-1,-2 2 0,1-1 1,-1 1-1,1-1 0,-2 1 0,1 0 1,0 1-1,-1-1 0,0 1 0,0 1 1,0-1-1,-1 1 0,1 0 1,-1 0-1,1 1 0,-1-1 0,0 2 1,-8-2-1,-18-3-256,-1 1-1,0 2 0,-52 2 1,65 1-206,12 0-6368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21.9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0 24575,'0'54'0,"-1"-7"0,2 0 0,1 0 0,11 53 0,3 13-1365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24.9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91 24575,'8'-1'0,"0"0"0,-1 0 0,1-1 0,0-1 0,-1 1 0,14-8 0,23-6 0,5 4 0,111-23 0,-140 31 0,1 2 0,-1 1 0,1 0 0,-1 2 0,36 4 0,-49-3 0,-1 0 0,1 1 0,-1 0 0,0 0 0,0 0 0,0 1 0,0 0 0,-1 0 0,0 0 0,1 1 0,-2 0 0,1 0 0,0 0 0,-1 1 0,0-1 0,0 1 0,-1 0 0,0 0 0,5 11 0,-4-8 0,-1 0 0,1 1 0,-1-1 0,-1 1 0,0 0 0,0 0 0,-1 0 0,0 0 0,-1 0 0,0 0 0,-1 0 0,-3 19 0,0-18 0,-1 1 0,0-1 0,-1 0 0,0 0 0,-1 0 0,0-1 0,-1 0 0,0-1 0,0 1 0,-1-2 0,-1 1 0,1-1 0,-1 0 0,-19 10 0,1-2 0,1-1 0,-2-2 0,0 0 0,-53 13 0,64-21 0,0-2 0,0 0 0,0-1 0,0-1 0,0 0 0,-33-4 0,48 2 0,0-1 0,0 1 0,0 0 0,0-1 0,0 0 0,0 0 0,1 0 0,-1 0 0,1 0 0,-1 0 0,1-1 0,0 1 0,0-1 0,0 1 0,0-1 0,0 0 0,-2-5 0,2 4 0,0 0 0,0 0 0,0 0 0,1 0 0,0 0 0,-1 0 0,1 0 0,1 0 0,-1 0 0,1-1 0,-1 1 0,1 0 0,1-7 0,6-3-1365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26.8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430 1 24575,'-101'64'0,"-70"51"0,136-88 0,15-12 0,1 1 0,0 0 0,1 1 0,-17 22 0,33-37 0,1 1 0,-1 0 0,1 0 0,0 0 0,0 0 0,0 0 0,0 0 0,1 1 0,-1-1 0,1 0 0,0 0 0,-1 1 0,2-1 0,-1 0 0,0 0 0,1 0 0,-1 1 0,1-1 0,0 0 0,2 5 0,4 8 0,0 0 0,16 25 0,-10-19 0,-10-17 0,1-1 0,-1 1 0,1-1 0,0 0 0,0 0 0,1 0 0,-1-1 0,1 0 0,0 0 0,0 0 0,0 0 0,0-1 0,1 1 0,-1-1 0,1-1 0,-1 1 0,1-1 0,0 0 0,-1 0 0,8-1 0,9 2 0,1-2 0,0 0 0,41-7 0,-44 3 0,1-1 0,-1 0 0,0-2 0,0 0 0,-1-2 0,0 0 0,0-1 0,26-19 0,-43 27 0,0 0 0,0 0 0,0 0 0,-1-1 0,1 1 0,-1 0 0,1-1 0,-1 0 0,0 1 0,0-1 0,0 0 0,0 1 0,0-1 0,0 0 0,-1 0 0,0 0 0,1-5 0,-4-58 0,1 32 0,2 23 0,-1 0 0,0 0 0,0 0 0,-1 0 0,0 0 0,-1 0 0,-1 1 0,-8-21 0,8 24 0,0 0 0,-1 1 0,0-1 0,0 1 0,-1-1 0,1 2 0,-1-1 0,-1 1 0,1 0 0,-1 0 0,1 0 0,-14-5 0,13 5-1365,1 1-5461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44:28.4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195 170 24575,'3'-5'0,"0"-1"0,0 1 0,0-1 0,-1 1 0,0-1 0,0 0 0,-1 0 0,2-7 0,2-9 0,8-46 0,-10 47 0,-2 26 0,-18 247 0,2-35-1365,14-207-5461</inkml:trace>
  <inkml:trace contextRef="#ctx0" brushRef="#br0" timeOffset="1291.83">0 537 24575,'115'7'0,"-87"-3"0,0-2 0,0 0 0,0-2 0,0-1 0,-1-2 0,1 0 0,32-9 0,-43 3-1365,-10 6-5461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53:36.6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5 167 24575,'-2'-41'0,"1"29"0,0 0 0,1-1 0,0 1 0,1 0 0,0-1 0,1 1 0,6-22 0,-8 34 0,0-1 0,0 1 0,0 0 0,0 0 0,0 0 0,0 0 0,0-1 0,0 1 0,0 0 0,0 0 0,0 0 0,0 0 0,0-1 0,0 1 0,1 0 0,-1 0 0,0 0 0,0 0 0,0 0 0,0-1 0,0 1 0,0 0 0,0 0 0,0 0 0,0 0 0,1 0 0,-1 0 0,0-1 0,0 1 0,0 0 0,0 0 0,0 0 0,1 0 0,-1 0 0,0 0 0,0 0 0,0 0 0,0 0 0,0 0 0,1 0 0,-1 0 0,0 0 0,0 0 0,0 0 0,0 0 0,1 0 0,-1 0 0,0 0 0,0 0 0,0 0 0,0 0 0,1 0 0,-1 0 0,0 0 0,0 0 0,0 0 0,0 1 0,0-1 0,1 0 0,-1 0 0,0 0 0,0 0 0,0 0 0,0 1 0,5 16 0,1 33 0,-6-45 0,4 239 0,-7-170 0,4-1 0,12 90 0,-7-136-1365,-3-17-5461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53:38.6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0 465 24575,'4'-78'0,"22"-123"0,-11 100 0,5 17 0,-22 99 0,1 1 0,1-1 0,1 1 0,2 20 0,-2-31 0,49 303 0,-42-274 0,-3-14 0,-1 1 0,-1-1 0,1 36 0,-4-46-1365,0 0-5461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53:40.6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364 419 24575,'28'0'0,"-3"1"0,0-2 0,34-4 0,-49 3 0,-1 0 0,0-1 0,0 0 0,0-1 0,0 0 0,0 0 0,-1 0 0,1-1 0,10-10 0,-16 13 0,0-1 0,0 0 0,0 1 0,-1-1 0,1-1 0,-1 1 0,0 0 0,0 0 0,0-1 0,0 1 0,-1-1 0,1 0 0,-1 0 0,0 1 0,0-1 0,0-5 0,0 1 0,-1 0 0,0 0 0,0 0 0,-1 0 0,0 0 0,-1 1 0,-3-14 0,-2 3 0,0 0 0,-1 1 0,0 0 0,-2 1 0,0 0 0,-15-19 0,19 28 0,0 1 0,0 0 0,-1 0 0,0 0 0,0 1 0,-1 0 0,1 1 0,-1-1 0,0 1 0,-16-5 0,-4 1 0,-58-9 0,68 14 0,10 2 0,-1 0 0,0 1 0,0 0 0,0 0 0,0 1 0,0 0 0,1 1 0,-1 0 0,0 0 0,1 1 0,-1 0 0,1 0 0,0 1 0,0 0 0,1 1 0,-15 9 0,-2 7 0,0 1 0,1 1 0,-27 33 0,37-41 0,10-11 0,-1 1 0,1-1 0,0 1 0,0-1 0,0 1 0,1 0 0,-1 0 0,1 0 0,0 0 0,1 0 0,-1 1 0,1-1 0,0 0 0,1 1 0,-1-1 0,1 1 0,0-1 0,0 1 0,1-1 0,0 1 0,0-1 0,0 0 0,0 1 0,1-1 0,0 0 0,0 0 0,6 9 0,-5-8 0,1 0 0,1-1 0,-1 0 0,1 1 0,0-2 0,0 1 0,0-1 0,1 1 0,-1-2 0,1 1 0,0 0 0,0-1 0,0 0 0,1-1 0,-1 1 0,1-1 0,0-1 0,-1 1 0,1-1 0,0 0 0,11 0 0,189 8 0,-150-17-1365,-48 7-5461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2:53:42.11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65 373 24575,'3'-129'0,"-5"-114"0,7 273 0,1-1 0,19 54 0,-14-46 0,10 41 0,-14-39-455,-2 1 0,1 69 0</inkml:trace>
  <inkml:trace contextRef="#ctx0" brushRef="#br0" timeOffset="1101.47">1 460 24575,'5'0'0,"12"0"0,9 0 0,9-2 0,3-1 0,-1 1 0,-4 0 0,-2 1 0,-6 0 0,-5 0 0,-4 1 0,-3 0 0,-2 0 0,0 2 0,-2 1 0,-1 1 0,0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3:00:00.8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24575,'323'10'0,"-276"-7"-63,-23-2-262,-1 1-1,1 1 0,26 7 1,-42-8-6501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3:00:09.39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314 0 24575,'-6'9'0,"0"-1"0,-1 0 0,0 0 0,0-1 0,0 1 0,-14 9 0,-2 2 0,10-8 0,0-1 0,-27 15 0,31-20 0,1 0 0,-1 0 0,1 1 0,-1 1 0,2-1 0,-1 1 0,1 0 0,0 1 0,0-1 0,-6 12 0,1 0 0,2 1 0,0 0 0,1 0 0,2 1 0,0 0 0,-7 34 0,13-50 0,0 1 0,1-1 0,-1 0 0,1 1 0,0-1 0,1 1 0,-1-1 0,1 0 0,0 1 0,0-1 0,1 0 0,0 0 0,0 0 0,0 0 0,0 0 0,1 0 0,0-1 0,0 1 0,0-1 0,0 0 0,1 0 0,-1 0 0,1 0 0,0-1 0,1 1 0,-1-1 0,1 0 0,-1 0 0,1-1 0,0 1 0,0-1 0,7 2 0,9 5 0,1-2 0,0 0 0,0-2 0,0 0 0,0-2 0,1 0 0,0-1 0,-1-2 0,1 0 0,0-1 0,-1-2 0,1 0 0,32-9 0,-52 10 0,0 0 0,0 1 0,0-1 0,-1 0 0,1 0 0,-1 0 0,1-1 0,-1 1 0,0 0 0,0-1 0,0 0 0,0 1 0,2-7 0,21-45 0,-16 32 0,0 1 0,-1-1 0,-1 0 0,-1 0 0,-1 0 0,3-26 0,-7 35 0,1-1 0,-2 1 0,0 0 0,-1 0 0,0-1 0,-1 1 0,0 0 0,-1 0 0,-1 0 0,-6-15 0,3 17 0,0 1 0,-1 0 0,-1 0 0,1 0 0,-2 1 0,1 0 0,-1 1 0,-1 0 0,0 1 0,-20-11 0,22 16 0,0-1 0,0 2 0,-1-1 0,1 2 0,-10-1 0,-8-1 0,11 5-1365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13:00:19.0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11 283 24575,'2'-10'0,"0"1"0,0-1 0,1 1 0,1 0 0,-1 0 0,1 1 0,1-1 0,6-8 0,0-4 0,-4 7 0,-1-1 0,0 0 0,-1 0 0,-1 0 0,0-1 0,-1 0 0,-1 1 0,0-1 0,-1-19 0,0 109 0,16 105 0,-3-54 0,-3-25-1365,-11-90-5461</inkml:trace>
  <inkml:trace contextRef="#ctx0" brushRef="#br0" timeOffset="1133.32">0 509 24575,'6'0'0,"8"0"0,11 0 0,7 0 0,4 0 0,3 0 0,-1 0 0,-2 0 0,-5 0 0,-6 0 0,-5 0 0,-4 0 0,-4 0 0,-3 0-8191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B8E3-375F-4EBC-A51B-806CD7BBE720}">
  <dimension ref="E6:S12"/>
  <sheetViews>
    <sheetView tabSelected="1" topLeftCell="N5" zoomScale="245" workbookViewId="0">
      <selection activeCell="M8" sqref="M8"/>
    </sheetView>
  </sheetViews>
  <sheetFormatPr defaultRowHeight="15" x14ac:dyDescent="0.25"/>
  <cols>
    <col min="5" max="5" width="23" customWidth="1"/>
    <col min="6" max="6" width="37.140625" customWidth="1"/>
    <col min="10" max="12" width="14.5703125" customWidth="1"/>
    <col min="14" max="16" width="14.5703125" customWidth="1"/>
  </cols>
  <sheetData>
    <row r="6" spans="5:19" ht="25.5" x14ac:dyDescent="0.7">
      <c r="E6" s="34"/>
      <c r="F6" s="34"/>
    </row>
    <row r="7" spans="5:19" ht="35.25" customHeight="1" x14ac:dyDescent="0.25">
      <c r="E7" s="41" t="s">
        <v>68</v>
      </c>
      <c r="F7" s="41" t="s">
        <v>69</v>
      </c>
      <c r="I7" s="1"/>
      <c r="J7" s="64" t="s">
        <v>181</v>
      </c>
      <c r="K7" s="64" t="s">
        <v>182</v>
      </c>
      <c r="L7" s="64" t="s">
        <v>183</v>
      </c>
      <c r="M7" s="52"/>
      <c r="N7" s="64" t="s">
        <v>181</v>
      </c>
      <c r="O7" s="64" t="s">
        <v>182</v>
      </c>
      <c r="P7" s="64" t="s">
        <v>184</v>
      </c>
      <c r="Q7" s="52"/>
      <c r="R7" s="64" t="s">
        <v>181</v>
      </c>
      <c r="S7" s="65" t="s">
        <v>181</v>
      </c>
    </row>
    <row r="8" spans="5:19" ht="31.5" customHeight="1" x14ac:dyDescent="0.7">
      <c r="E8" s="40" t="s">
        <v>58</v>
      </c>
      <c r="F8" s="40" t="s">
        <v>59</v>
      </c>
      <c r="J8" s="62">
        <v>1</v>
      </c>
      <c r="K8" s="62">
        <v>0</v>
      </c>
      <c r="L8" s="62"/>
      <c r="N8" s="62">
        <v>1</v>
      </c>
      <c r="O8" s="62">
        <v>0</v>
      </c>
      <c r="P8" s="62"/>
      <c r="R8" s="63">
        <v>1</v>
      </c>
      <c r="S8" s="63"/>
    </row>
    <row r="9" spans="5:19" ht="31.5" customHeight="1" x14ac:dyDescent="0.7">
      <c r="E9" s="40" t="s">
        <v>60</v>
      </c>
      <c r="F9" s="40" t="s">
        <v>61</v>
      </c>
      <c r="J9" s="62">
        <v>0</v>
      </c>
      <c r="K9" s="62">
        <v>1</v>
      </c>
      <c r="L9" s="62"/>
      <c r="N9" s="62">
        <v>0</v>
      </c>
      <c r="O9" s="62">
        <v>1</v>
      </c>
      <c r="P9" s="62"/>
      <c r="R9" s="63">
        <v>0</v>
      </c>
      <c r="S9" s="63"/>
    </row>
    <row r="10" spans="5:19" ht="31.5" customHeight="1" x14ac:dyDescent="0.7">
      <c r="E10" s="40" t="s">
        <v>62</v>
      </c>
      <c r="F10" s="40" t="s">
        <v>63</v>
      </c>
      <c r="J10" s="62">
        <v>0</v>
      </c>
      <c r="K10" s="62">
        <v>0</v>
      </c>
      <c r="L10" s="62"/>
      <c r="N10" s="62">
        <v>0</v>
      </c>
      <c r="O10" s="62">
        <v>0</v>
      </c>
      <c r="P10" s="62"/>
    </row>
    <row r="11" spans="5:19" ht="31.5" customHeight="1" x14ac:dyDescent="0.7">
      <c r="E11" s="40" t="s">
        <v>64</v>
      </c>
      <c r="F11" s="40" t="s">
        <v>65</v>
      </c>
      <c r="J11" s="62">
        <v>1</v>
      </c>
      <c r="K11" s="62">
        <v>1</v>
      </c>
      <c r="L11" s="62"/>
      <c r="N11" s="62">
        <v>1</v>
      </c>
      <c r="O11" s="62">
        <v>1</v>
      </c>
      <c r="P11" s="62"/>
    </row>
    <row r="12" spans="5:19" ht="31.5" customHeight="1" x14ac:dyDescent="0.7">
      <c r="E12" s="40" t="s">
        <v>66</v>
      </c>
      <c r="F12" s="40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5AED-A72C-45F4-9074-DC1AA550510F}">
  <dimension ref="A1:AM59"/>
  <sheetViews>
    <sheetView topLeftCell="W1" zoomScale="69" zoomScaleNormal="200" workbookViewId="0">
      <selection activeCell="I20" sqref="I20"/>
    </sheetView>
  </sheetViews>
  <sheetFormatPr defaultRowHeight="15" x14ac:dyDescent="0.25"/>
  <cols>
    <col min="2" max="2" width="17.42578125" style="1" customWidth="1"/>
    <col min="3" max="3" width="20" style="1" customWidth="1"/>
    <col min="4" max="5" width="11.28515625" style="1" customWidth="1"/>
    <col min="6" max="6" width="47" customWidth="1"/>
    <col min="8" max="8" width="10.28515625" customWidth="1"/>
    <col min="9" max="9" width="17.42578125" customWidth="1"/>
    <col min="10" max="10" width="8.85546875" customWidth="1"/>
    <col min="11" max="12" width="16.85546875" customWidth="1"/>
    <col min="13" max="13" width="19.7109375" customWidth="1"/>
    <col min="15" max="15" width="19.28515625" customWidth="1"/>
    <col min="16" max="16" width="9.140625" style="48"/>
    <col min="17" max="17" width="8" bestFit="1" customWidth="1"/>
    <col min="33" max="33" width="23.5703125" customWidth="1"/>
    <col min="34" max="34" width="18" customWidth="1"/>
    <col min="35" max="35" width="23.5703125" customWidth="1"/>
    <col min="36" max="37" width="4.7109375" customWidth="1"/>
  </cols>
  <sheetData>
    <row r="1" spans="2:39" ht="18.75" x14ac:dyDescent="0.25">
      <c r="B1" s="8" t="s">
        <v>0</v>
      </c>
      <c r="C1" s="8" t="s">
        <v>1</v>
      </c>
      <c r="D1" s="8" t="s">
        <v>2</v>
      </c>
      <c r="E1" s="8" t="s">
        <v>3</v>
      </c>
      <c r="F1" s="8" t="s">
        <v>70</v>
      </c>
    </row>
    <row r="2" spans="2:39" ht="25.5" x14ac:dyDescent="0.7">
      <c r="B2" s="29">
        <v>1</v>
      </c>
      <c r="C2" s="32" t="s">
        <v>4</v>
      </c>
      <c r="D2" s="29">
        <v>30</v>
      </c>
      <c r="E2" s="29"/>
      <c r="F2" s="43"/>
      <c r="N2" s="41" t="s">
        <v>73</v>
      </c>
      <c r="O2" s="41" t="s">
        <v>74</v>
      </c>
      <c r="P2" s="41" t="s">
        <v>75</v>
      </c>
      <c r="Q2" s="41" t="s">
        <v>76</v>
      </c>
      <c r="R2" s="41" t="s">
        <v>77</v>
      </c>
      <c r="S2" s="41" t="s">
        <v>78</v>
      </c>
      <c r="T2" s="41" t="s">
        <v>79</v>
      </c>
      <c r="U2" s="41" t="s">
        <v>80</v>
      </c>
      <c r="V2" s="41" t="s">
        <v>81</v>
      </c>
      <c r="W2" s="41" t="s">
        <v>82</v>
      </c>
      <c r="X2" s="39" t="s">
        <v>83</v>
      </c>
      <c r="Y2" s="39" t="s">
        <v>84</v>
      </c>
      <c r="Z2" s="39" t="s">
        <v>85</v>
      </c>
      <c r="AA2" s="39" t="s">
        <v>86</v>
      </c>
      <c r="AB2" s="39" t="s">
        <v>87</v>
      </c>
      <c r="AC2" s="39" t="s">
        <v>88</v>
      </c>
      <c r="AD2" s="39" t="s">
        <v>89</v>
      </c>
      <c r="AE2" s="39" t="s">
        <v>90</v>
      </c>
      <c r="AF2" s="39" t="s">
        <v>91</v>
      </c>
      <c r="AG2" s="41" t="s">
        <v>152</v>
      </c>
      <c r="AH2" s="41" t="s">
        <v>153</v>
      </c>
      <c r="AI2" s="41" t="s">
        <v>154</v>
      </c>
    </row>
    <row r="3" spans="2:39" ht="24" x14ac:dyDescent="0.65">
      <c r="B3" s="29">
        <v>2</v>
      </c>
      <c r="C3" s="32" t="s">
        <v>5</v>
      </c>
      <c r="D3" s="29">
        <v>50</v>
      </c>
      <c r="E3" s="29"/>
      <c r="F3" s="43"/>
      <c r="N3" s="45">
        <v>1</v>
      </c>
      <c r="O3" s="46" t="s">
        <v>92</v>
      </c>
      <c r="P3" s="45" t="s">
        <v>93</v>
      </c>
      <c r="Q3" s="46" t="s">
        <v>94</v>
      </c>
      <c r="R3" s="49">
        <v>25</v>
      </c>
      <c r="S3" s="49">
        <v>53</v>
      </c>
      <c r="T3" s="49">
        <v>54</v>
      </c>
      <c r="U3" s="49">
        <v>70</v>
      </c>
      <c r="V3" s="49">
        <v>34</v>
      </c>
      <c r="W3" s="49">
        <v>50</v>
      </c>
      <c r="X3" s="49">
        <v>30</v>
      </c>
      <c r="Y3" s="49">
        <v>35</v>
      </c>
      <c r="Z3" s="49">
        <v>43</v>
      </c>
      <c r="AA3" s="49">
        <v>28</v>
      </c>
      <c r="AB3" s="49">
        <v>25</v>
      </c>
      <c r="AC3" s="49">
        <v>49</v>
      </c>
      <c r="AD3" s="49">
        <v>36</v>
      </c>
      <c r="AE3" s="49">
        <v>41</v>
      </c>
      <c r="AF3" s="49">
        <v>50</v>
      </c>
      <c r="AG3" s="5"/>
      <c r="AH3" s="51"/>
      <c r="AI3" s="42"/>
      <c r="AJ3" s="52" t="str">
        <f>IF(AH3&lt;25,"F",IF(AH3&lt;=28,"E",IF(AH3&lt;=31,"D",IF(AH3&lt;=38,"C",IF(AH3&lt;=41,"B","A")))))</f>
        <v>F</v>
      </c>
      <c r="AK3" s="52" t="str">
        <f>IF(AH3&gt;=41,"A",IF(AH3&gt;=38,"B",IF(AH3&gt;=31,"C",IF(AH3&gt;=28,"D",IF(AH3&gt;=25,"E","F")))))</f>
        <v>F</v>
      </c>
      <c r="AL3" t="s">
        <v>166</v>
      </c>
      <c r="AM3" t="s">
        <v>16</v>
      </c>
    </row>
    <row r="4" spans="2:39" ht="24" x14ac:dyDescent="0.65">
      <c r="B4" s="29">
        <v>3</v>
      </c>
      <c r="C4" s="32" t="s">
        <v>6</v>
      </c>
      <c r="D4" s="29">
        <v>70</v>
      </c>
      <c r="E4" s="29"/>
      <c r="F4" s="43"/>
      <c r="N4" s="45">
        <v>2</v>
      </c>
      <c r="O4" s="46" t="s">
        <v>95</v>
      </c>
      <c r="P4" s="45" t="s">
        <v>93</v>
      </c>
      <c r="Q4" s="46" t="s">
        <v>94</v>
      </c>
      <c r="R4" s="49">
        <v>38</v>
      </c>
      <c r="S4" s="49">
        <v>64</v>
      </c>
      <c r="T4" s="49">
        <v>38</v>
      </c>
      <c r="U4" s="49">
        <v>50</v>
      </c>
      <c r="V4" s="49">
        <v>32</v>
      </c>
      <c r="W4" s="49">
        <v>44</v>
      </c>
      <c r="X4" s="49">
        <v>35</v>
      </c>
      <c r="Y4" s="49">
        <v>46</v>
      </c>
      <c r="Z4" s="49">
        <v>44</v>
      </c>
      <c r="AA4" s="49">
        <v>11</v>
      </c>
      <c r="AB4" s="49">
        <v>25</v>
      </c>
      <c r="AC4" s="49">
        <v>49</v>
      </c>
      <c r="AD4" s="49">
        <v>34</v>
      </c>
      <c r="AE4" s="49">
        <v>25</v>
      </c>
      <c r="AF4" s="49">
        <v>50</v>
      </c>
      <c r="AG4" s="5"/>
      <c r="AH4" s="51"/>
      <c r="AI4" s="42"/>
      <c r="AJ4" s="52" t="str">
        <f t="shared" ref="AJ4:AJ59" si="0">IF(AH4&lt;25,"F",IF(AH4&lt;=28,"E",IF(AH4&lt;=31,"D",IF(AH4&lt;=38,"C",IF(AH4&lt;=41,"B","A")))))</f>
        <v>F</v>
      </c>
      <c r="AK4" s="52" t="str">
        <f t="shared" ref="AK4:AK59" si="1">IF(AH4&gt;=41,"A",IF(AH4&gt;=38,"B",IF(AH4&gt;=31,"C",IF(AH4&gt;=28,"D",IF(AH4&gt;=25,"E","F")))))</f>
        <v>F</v>
      </c>
      <c r="AL4" t="s">
        <v>155</v>
      </c>
      <c r="AM4" t="s">
        <v>156</v>
      </c>
    </row>
    <row r="5" spans="2:39" ht="24" x14ac:dyDescent="0.65">
      <c r="B5" s="29">
        <v>4</v>
      </c>
      <c r="C5" s="32" t="s">
        <v>7</v>
      </c>
      <c r="D5" s="29">
        <v>45</v>
      </c>
      <c r="E5" s="29"/>
      <c r="F5" s="43"/>
      <c r="M5" t="s">
        <v>72</v>
      </c>
      <c r="N5" s="45">
        <v>3</v>
      </c>
      <c r="O5" s="46" t="s">
        <v>96</v>
      </c>
      <c r="P5" s="45" t="s">
        <v>93</v>
      </c>
      <c r="Q5" s="46" t="s">
        <v>94</v>
      </c>
      <c r="R5" s="49">
        <v>20</v>
      </c>
      <c r="S5" s="49">
        <v>15</v>
      </c>
      <c r="T5" s="49">
        <v>38</v>
      </c>
      <c r="U5" s="49">
        <v>45</v>
      </c>
      <c r="V5" s="49">
        <v>17</v>
      </c>
      <c r="W5" s="49">
        <v>36</v>
      </c>
      <c r="X5" s="49">
        <v>26</v>
      </c>
      <c r="Y5" s="49">
        <v>26</v>
      </c>
      <c r="Z5" s="49">
        <v>41</v>
      </c>
      <c r="AA5" s="49">
        <v>9</v>
      </c>
      <c r="AB5" s="49">
        <v>25</v>
      </c>
      <c r="AC5" s="49">
        <v>49</v>
      </c>
      <c r="AD5" s="49">
        <v>38</v>
      </c>
      <c r="AE5" s="49">
        <v>30</v>
      </c>
      <c r="AF5" s="49">
        <v>30</v>
      </c>
      <c r="AG5" s="5"/>
      <c r="AH5" s="51"/>
      <c r="AI5" s="42"/>
      <c r="AJ5" s="52" t="str">
        <f t="shared" si="0"/>
        <v>F</v>
      </c>
      <c r="AK5" s="52" t="str">
        <f t="shared" si="1"/>
        <v>F</v>
      </c>
      <c r="AL5" t="s">
        <v>157</v>
      </c>
      <c r="AM5" t="s">
        <v>158</v>
      </c>
    </row>
    <row r="6" spans="2:39" ht="24" x14ac:dyDescent="0.65">
      <c r="B6" s="29">
        <v>5</v>
      </c>
      <c r="C6" s="32" t="s">
        <v>8</v>
      </c>
      <c r="D6" s="29">
        <v>90</v>
      </c>
      <c r="E6" s="29"/>
      <c r="F6" s="43"/>
      <c r="N6" s="45">
        <v>4</v>
      </c>
      <c r="O6" s="46" t="s">
        <v>97</v>
      </c>
      <c r="P6" s="45" t="s">
        <v>93</v>
      </c>
      <c r="Q6" s="46" t="s">
        <v>94</v>
      </c>
      <c r="R6" s="49">
        <v>59</v>
      </c>
      <c r="S6" s="49">
        <v>19</v>
      </c>
      <c r="T6" s="49">
        <v>73</v>
      </c>
      <c r="U6" s="49">
        <v>71</v>
      </c>
      <c r="V6" s="49">
        <v>65</v>
      </c>
      <c r="W6" s="49">
        <v>50</v>
      </c>
      <c r="X6" s="49">
        <v>50</v>
      </c>
      <c r="Y6" s="49">
        <v>34</v>
      </c>
      <c r="Z6" s="49">
        <v>44</v>
      </c>
      <c r="AA6" s="49">
        <v>46</v>
      </c>
      <c r="AB6" s="49">
        <v>25</v>
      </c>
      <c r="AC6" s="49">
        <v>49</v>
      </c>
      <c r="AD6" s="49">
        <v>35</v>
      </c>
      <c r="AE6" s="49">
        <v>30</v>
      </c>
      <c r="AF6" s="49">
        <v>50</v>
      </c>
      <c r="AG6" s="5"/>
      <c r="AH6" s="51"/>
      <c r="AI6" s="42"/>
      <c r="AJ6" s="52" t="str">
        <f t="shared" si="0"/>
        <v>F</v>
      </c>
      <c r="AK6" s="52" t="str">
        <f t="shared" si="1"/>
        <v>F</v>
      </c>
      <c r="AL6" t="s">
        <v>159</v>
      </c>
      <c r="AM6" t="s">
        <v>160</v>
      </c>
    </row>
    <row r="7" spans="2:39" ht="24" x14ac:dyDescent="0.65">
      <c r="B7" s="29">
        <v>6</v>
      </c>
      <c r="C7" s="32" t="s">
        <v>9</v>
      </c>
      <c r="D7" s="29">
        <v>10</v>
      </c>
      <c r="E7" s="29"/>
      <c r="F7" s="43"/>
      <c r="N7" s="45">
        <v>5</v>
      </c>
      <c r="O7" s="46" t="s">
        <v>98</v>
      </c>
      <c r="P7" s="45" t="s">
        <v>93</v>
      </c>
      <c r="Q7" s="46" t="s">
        <v>94</v>
      </c>
      <c r="R7" s="49">
        <v>39</v>
      </c>
      <c r="S7" s="49">
        <v>117</v>
      </c>
      <c r="T7" s="49">
        <v>70</v>
      </c>
      <c r="U7" s="49">
        <v>71</v>
      </c>
      <c r="V7" s="49">
        <v>61</v>
      </c>
      <c r="W7" s="49">
        <v>45</v>
      </c>
      <c r="X7" s="49">
        <v>50</v>
      </c>
      <c r="Y7" s="49">
        <v>33</v>
      </c>
      <c r="Z7" s="49">
        <v>45</v>
      </c>
      <c r="AA7" s="49">
        <v>45</v>
      </c>
      <c r="AB7" s="49">
        <v>25</v>
      </c>
      <c r="AC7" s="49">
        <v>49</v>
      </c>
      <c r="AD7" s="49">
        <v>33</v>
      </c>
      <c r="AE7" s="49">
        <v>31</v>
      </c>
      <c r="AF7" s="49">
        <v>50</v>
      </c>
      <c r="AG7" s="5"/>
      <c r="AH7" s="51"/>
      <c r="AI7" s="42"/>
      <c r="AJ7" s="52" t="str">
        <f t="shared" si="0"/>
        <v>F</v>
      </c>
      <c r="AK7" s="52" t="str">
        <f t="shared" si="1"/>
        <v>F</v>
      </c>
      <c r="AL7" t="s">
        <v>161</v>
      </c>
      <c r="AM7" t="s">
        <v>27</v>
      </c>
    </row>
    <row r="8" spans="2:39" ht="23.25" x14ac:dyDescent="0.65">
      <c r="B8" s="70" t="s">
        <v>22</v>
      </c>
      <c r="C8" s="70"/>
      <c r="D8" s="70"/>
      <c r="E8" s="70"/>
      <c r="N8" s="45">
        <v>6</v>
      </c>
      <c r="O8" s="46" t="s">
        <v>99</v>
      </c>
      <c r="P8" s="45" t="s">
        <v>100</v>
      </c>
      <c r="Q8" s="46" t="s">
        <v>94</v>
      </c>
      <c r="R8" s="49">
        <v>30</v>
      </c>
      <c r="S8" s="49">
        <v>45</v>
      </c>
      <c r="T8" s="49">
        <v>72</v>
      </c>
      <c r="U8" s="49">
        <v>73</v>
      </c>
      <c r="V8" s="49">
        <v>50</v>
      </c>
      <c r="W8" s="49">
        <v>45</v>
      </c>
      <c r="X8" s="49">
        <v>26</v>
      </c>
      <c r="Y8" s="49">
        <v>35</v>
      </c>
      <c r="Z8" s="49">
        <v>45</v>
      </c>
      <c r="AA8" s="49">
        <v>42</v>
      </c>
      <c r="AB8" s="49">
        <v>25</v>
      </c>
      <c r="AC8" s="49">
        <v>49</v>
      </c>
      <c r="AD8" s="49">
        <v>31</v>
      </c>
      <c r="AE8" s="49">
        <v>35</v>
      </c>
      <c r="AF8" s="49">
        <v>40</v>
      </c>
      <c r="AG8" s="5"/>
      <c r="AH8" s="51"/>
      <c r="AI8" s="42"/>
      <c r="AJ8" s="52" t="str">
        <f t="shared" si="0"/>
        <v>F</v>
      </c>
      <c r="AK8" s="52" t="str">
        <f t="shared" si="1"/>
        <v>F</v>
      </c>
      <c r="AM8" t="s">
        <v>26</v>
      </c>
    </row>
    <row r="9" spans="2:39" ht="23.25" x14ac:dyDescent="0.65">
      <c r="N9" s="45">
        <v>7</v>
      </c>
      <c r="O9" s="46" t="s">
        <v>101</v>
      </c>
      <c r="P9" s="45" t="s">
        <v>100</v>
      </c>
      <c r="Q9" s="46" t="s">
        <v>94</v>
      </c>
      <c r="R9" s="49">
        <v>38</v>
      </c>
      <c r="S9" s="49">
        <v>25</v>
      </c>
      <c r="T9" s="49">
        <v>0</v>
      </c>
      <c r="U9" s="49">
        <v>0</v>
      </c>
      <c r="V9" s="49">
        <v>10</v>
      </c>
      <c r="W9" s="49">
        <v>25</v>
      </c>
      <c r="X9" s="49">
        <v>25</v>
      </c>
      <c r="Y9" s="49">
        <v>15</v>
      </c>
      <c r="Z9" s="49">
        <v>41</v>
      </c>
      <c r="AA9" s="49">
        <v>0</v>
      </c>
      <c r="AB9" s="49">
        <v>17</v>
      </c>
      <c r="AC9" s="49">
        <v>49</v>
      </c>
      <c r="AD9" s="49">
        <v>0</v>
      </c>
      <c r="AE9" s="49">
        <v>25</v>
      </c>
      <c r="AF9" s="49">
        <v>40</v>
      </c>
      <c r="AG9" s="5"/>
      <c r="AH9" s="51"/>
      <c r="AI9" s="42"/>
      <c r="AJ9" s="52" t="str">
        <f t="shared" si="0"/>
        <v>F</v>
      </c>
      <c r="AK9" s="52" t="str">
        <f t="shared" si="1"/>
        <v>F</v>
      </c>
    </row>
    <row r="10" spans="2:39" ht="23.25" x14ac:dyDescent="0.65">
      <c r="N10" s="45">
        <v>8</v>
      </c>
      <c r="O10" s="44" t="s">
        <v>102</v>
      </c>
      <c r="P10" s="49" t="s">
        <v>93</v>
      </c>
      <c r="Q10" s="44" t="s">
        <v>94</v>
      </c>
      <c r="R10" s="49">
        <v>44</v>
      </c>
      <c r="S10" s="49">
        <v>53</v>
      </c>
      <c r="T10" s="49">
        <v>43</v>
      </c>
      <c r="U10" s="49">
        <v>70</v>
      </c>
      <c r="V10" s="49">
        <v>38</v>
      </c>
      <c r="W10" s="49">
        <v>50</v>
      </c>
      <c r="X10" s="49">
        <v>35</v>
      </c>
      <c r="Y10" s="49">
        <v>33</v>
      </c>
      <c r="Z10" s="49">
        <v>43</v>
      </c>
      <c r="AA10" s="49">
        <v>34</v>
      </c>
      <c r="AB10" s="49">
        <v>25</v>
      </c>
      <c r="AC10" s="49">
        <v>49</v>
      </c>
      <c r="AD10" s="49">
        <v>38</v>
      </c>
      <c r="AE10" s="49">
        <v>45</v>
      </c>
      <c r="AF10" s="49">
        <v>50</v>
      </c>
      <c r="AG10" s="5"/>
      <c r="AH10" s="51"/>
      <c r="AI10" s="42"/>
      <c r="AJ10" s="52" t="str">
        <f t="shared" si="0"/>
        <v>F</v>
      </c>
      <c r="AK10" s="52" t="str">
        <f t="shared" si="1"/>
        <v>F</v>
      </c>
    </row>
    <row r="11" spans="2:39" ht="22.9" customHeight="1" x14ac:dyDescent="0.65">
      <c r="B11" s="8" t="s">
        <v>0</v>
      </c>
      <c r="C11" s="8" t="s">
        <v>1</v>
      </c>
      <c r="D11" s="8" t="s">
        <v>2</v>
      </c>
      <c r="E11" s="8" t="s">
        <v>3</v>
      </c>
      <c r="F11" s="8" t="s">
        <v>70</v>
      </c>
      <c r="H11" s="8" t="s">
        <v>0</v>
      </c>
      <c r="I11" s="8" t="s">
        <v>1</v>
      </c>
      <c r="J11" s="8" t="s">
        <v>2</v>
      </c>
      <c r="K11" s="8" t="s">
        <v>11</v>
      </c>
      <c r="L11" s="8" t="s">
        <v>11</v>
      </c>
      <c r="N11" s="45">
        <v>9</v>
      </c>
      <c r="O11" s="44" t="s">
        <v>103</v>
      </c>
      <c r="P11" s="49" t="s">
        <v>93</v>
      </c>
      <c r="Q11" s="44" t="s">
        <v>94</v>
      </c>
      <c r="R11" s="49">
        <v>38</v>
      </c>
      <c r="S11" s="49">
        <v>25</v>
      </c>
      <c r="T11" s="49">
        <v>38</v>
      </c>
      <c r="U11" s="49">
        <v>70</v>
      </c>
      <c r="V11" s="49">
        <v>40</v>
      </c>
      <c r="W11" s="49">
        <v>50</v>
      </c>
      <c r="X11" s="49">
        <v>26</v>
      </c>
      <c r="Y11" s="49">
        <v>39</v>
      </c>
      <c r="Z11" s="49">
        <v>43</v>
      </c>
      <c r="AA11" s="49">
        <v>12</v>
      </c>
      <c r="AB11" s="49">
        <v>25</v>
      </c>
      <c r="AC11" s="49">
        <v>49</v>
      </c>
      <c r="AD11" s="49">
        <v>46</v>
      </c>
      <c r="AE11" s="49">
        <v>38</v>
      </c>
      <c r="AF11" s="49">
        <v>50</v>
      </c>
      <c r="AG11" s="5"/>
      <c r="AH11" s="51"/>
      <c r="AI11" s="42"/>
      <c r="AJ11" s="52" t="str">
        <f t="shared" si="0"/>
        <v>F</v>
      </c>
      <c r="AK11" s="52" t="str">
        <f t="shared" si="1"/>
        <v>F</v>
      </c>
      <c r="AL11" t="s">
        <v>162</v>
      </c>
      <c r="AM11" t="s">
        <v>26</v>
      </c>
    </row>
    <row r="12" spans="2:39" ht="23.25" x14ac:dyDescent="0.65">
      <c r="B12" s="3">
        <v>1</v>
      </c>
      <c r="C12" s="4" t="s">
        <v>4</v>
      </c>
      <c r="D12" s="3">
        <v>18</v>
      </c>
      <c r="E12" s="4"/>
      <c r="F12" s="42"/>
      <c r="H12" s="3">
        <v>1</v>
      </c>
      <c r="I12" s="4" t="s">
        <v>4</v>
      </c>
      <c r="J12" s="3">
        <v>41</v>
      </c>
      <c r="K12" s="4"/>
      <c r="L12" s="42"/>
      <c r="N12" s="45">
        <v>10</v>
      </c>
      <c r="O12" s="44" t="s">
        <v>104</v>
      </c>
      <c r="P12" s="49" t="s">
        <v>100</v>
      </c>
      <c r="Q12" s="44" t="s">
        <v>94</v>
      </c>
      <c r="R12" s="49">
        <v>28</v>
      </c>
      <c r="S12" s="49">
        <v>50</v>
      </c>
      <c r="T12" s="49">
        <v>38</v>
      </c>
      <c r="U12" s="49">
        <v>66</v>
      </c>
      <c r="V12" s="49">
        <v>48</v>
      </c>
      <c r="W12" s="49">
        <v>50</v>
      </c>
      <c r="X12" s="49">
        <v>26</v>
      </c>
      <c r="Y12" s="49">
        <v>30</v>
      </c>
      <c r="Z12" s="49">
        <v>42</v>
      </c>
      <c r="AA12" s="49">
        <v>43</v>
      </c>
      <c r="AB12" s="49">
        <v>25</v>
      </c>
      <c r="AC12" s="49">
        <v>49</v>
      </c>
      <c r="AD12" s="49">
        <v>43</v>
      </c>
      <c r="AE12" s="49">
        <v>30</v>
      </c>
      <c r="AF12" s="49">
        <v>50</v>
      </c>
      <c r="AG12" s="5"/>
      <c r="AH12" s="51"/>
      <c r="AI12" s="42"/>
      <c r="AJ12" s="52" t="str">
        <f t="shared" si="0"/>
        <v>F</v>
      </c>
      <c r="AK12" s="52" t="str">
        <f t="shared" si="1"/>
        <v>F</v>
      </c>
      <c r="AL12" t="s">
        <v>163</v>
      </c>
      <c r="AM12" t="s">
        <v>27</v>
      </c>
    </row>
    <row r="13" spans="2:39" ht="23.25" x14ac:dyDescent="0.65">
      <c r="B13" s="3">
        <v>2</v>
      </c>
      <c r="C13" s="4" t="s">
        <v>5</v>
      </c>
      <c r="D13" s="3">
        <v>19</v>
      </c>
      <c r="E13" s="4"/>
      <c r="F13" s="42"/>
      <c r="H13" s="3">
        <v>2</v>
      </c>
      <c r="I13" s="4" t="s">
        <v>5</v>
      </c>
      <c r="J13" s="3">
        <v>24</v>
      </c>
      <c r="K13" s="4"/>
      <c r="L13" s="42"/>
      <c r="N13" s="45">
        <v>11</v>
      </c>
      <c r="O13" s="44" t="s">
        <v>105</v>
      </c>
      <c r="P13" s="49" t="s">
        <v>100</v>
      </c>
      <c r="Q13" s="44" t="s">
        <v>94</v>
      </c>
      <c r="R13" s="49">
        <v>38</v>
      </c>
      <c r="S13" s="49">
        <v>63</v>
      </c>
      <c r="T13" s="49">
        <v>75</v>
      </c>
      <c r="U13" s="49">
        <v>73</v>
      </c>
      <c r="V13" s="49">
        <v>40</v>
      </c>
      <c r="W13" s="49">
        <v>50</v>
      </c>
      <c r="X13" s="49">
        <v>32</v>
      </c>
      <c r="Y13" s="49">
        <v>47</v>
      </c>
      <c r="Z13" s="49">
        <v>44</v>
      </c>
      <c r="AA13" s="49">
        <v>34</v>
      </c>
      <c r="AB13" s="49">
        <v>25</v>
      </c>
      <c r="AC13" s="49">
        <v>49</v>
      </c>
      <c r="AD13" s="49">
        <v>39</v>
      </c>
      <c r="AE13" s="49">
        <v>47</v>
      </c>
      <c r="AF13" s="49">
        <v>50</v>
      </c>
      <c r="AG13" s="5"/>
      <c r="AH13" s="51"/>
      <c r="AI13" s="42"/>
      <c r="AJ13" s="52" t="str">
        <f t="shared" si="0"/>
        <v>F</v>
      </c>
      <c r="AK13" s="52" t="str">
        <f t="shared" si="1"/>
        <v>F</v>
      </c>
      <c r="AL13" t="s">
        <v>164</v>
      </c>
      <c r="AM13" t="s">
        <v>160</v>
      </c>
    </row>
    <row r="14" spans="2:39" ht="23.25" x14ac:dyDescent="0.65">
      <c r="B14" s="3">
        <v>3</v>
      </c>
      <c r="C14" s="4" t="s">
        <v>6</v>
      </c>
      <c r="D14" s="3">
        <v>10</v>
      </c>
      <c r="E14" s="4"/>
      <c r="F14" s="42"/>
      <c r="H14" s="3">
        <v>3</v>
      </c>
      <c r="I14" s="4" t="s">
        <v>6</v>
      </c>
      <c r="J14" s="3">
        <v>34</v>
      </c>
      <c r="K14" s="4"/>
      <c r="L14" s="42"/>
      <c r="N14" s="45">
        <v>12</v>
      </c>
      <c r="O14" s="44" t="s">
        <v>106</v>
      </c>
      <c r="P14" s="49" t="s">
        <v>100</v>
      </c>
      <c r="Q14" s="44" t="s">
        <v>94</v>
      </c>
      <c r="R14" s="49">
        <v>39</v>
      </c>
      <c r="S14" s="49">
        <v>72</v>
      </c>
      <c r="T14" s="49">
        <v>75</v>
      </c>
      <c r="U14" s="49">
        <v>73</v>
      </c>
      <c r="V14" s="49">
        <v>65</v>
      </c>
      <c r="W14" s="49">
        <v>49</v>
      </c>
      <c r="X14" s="49">
        <v>40</v>
      </c>
      <c r="Y14" s="49">
        <v>36</v>
      </c>
      <c r="Z14" s="49">
        <v>40</v>
      </c>
      <c r="AA14" s="49">
        <v>40</v>
      </c>
      <c r="AB14" s="49">
        <v>25</v>
      </c>
      <c r="AC14" s="49">
        <v>49</v>
      </c>
      <c r="AD14" s="49">
        <v>43</v>
      </c>
      <c r="AE14" s="49">
        <v>50</v>
      </c>
      <c r="AF14" s="49">
        <v>50</v>
      </c>
      <c r="AG14" s="5"/>
      <c r="AH14" s="51"/>
      <c r="AI14" s="42"/>
      <c r="AJ14" s="52" t="str">
        <f t="shared" si="0"/>
        <v>F</v>
      </c>
      <c r="AK14" s="52" t="str">
        <f t="shared" si="1"/>
        <v>F</v>
      </c>
      <c r="AL14" t="s">
        <v>165</v>
      </c>
      <c r="AM14" t="s">
        <v>158</v>
      </c>
    </row>
    <row r="15" spans="2:39" ht="23.25" x14ac:dyDescent="0.65">
      <c r="B15" s="3">
        <v>4</v>
      </c>
      <c r="C15" s="4" t="s">
        <v>7</v>
      </c>
      <c r="D15" s="3">
        <v>17</v>
      </c>
      <c r="E15" s="4"/>
      <c r="F15" s="42"/>
      <c r="H15" s="3">
        <v>4</v>
      </c>
      <c r="I15" s="4" t="s">
        <v>7</v>
      </c>
      <c r="J15" s="3">
        <v>40</v>
      </c>
      <c r="K15" s="4"/>
      <c r="L15" s="42"/>
      <c r="N15" s="45">
        <v>13</v>
      </c>
      <c r="O15" s="44" t="s">
        <v>107</v>
      </c>
      <c r="P15" s="49" t="s">
        <v>100</v>
      </c>
      <c r="Q15" s="44" t="s">
        <v>94</v>
      </c>
      <c r="R15" s="49">
        <v>31</v>
      </c>
      <c r="S15" s="49">
        <v>25</v>
      </c>
      <c r="T15" s="49">
        <v>0</v>
      </c>
      <c r="U15" s="49">
        <v>0</v>
      </c>
      <c r="V15" s="49">
        <v>10</v>
      </c>
      <c r="W15" s="49">
        <v>35</v>
      </c>
      <c r="X15" s="49">
        <v>6</v>
      </c>
      <c r="Y15" s="49">
        <v>21</v>
      </c>
      <c r="Z15" s="49">
        <v>42</v>
      </c>
      <c r="AA15" s="49">
        <v>0</v>
      </c>
      <c r="AB15" s="49">
        <v>15</v>
      </c>
      <c r="AC15" s="49">
        <v>49</v>
      </c>
      <c r="AD15" s="49">
        <v>18</v>
      </c>
      <c r="AE15" s="49">
        <v>25</v>
      </c>
      <c r="AF15" s="49">
        <v>50</v>
      </c>
      <c r="AG15" s="5"/>
      <c r="AH15" s="51"/>
      <c r="AI15" s="42"/>
      <c r="AJ15" s="52" t="str">
        <f t="shared" si="0"/>
        <v>F</v>
      </c>
      <c r="AK15" s="52" t="str">
        <f t="shared" si="1"/>
        <v>F</v>
      </c>
      <c r="AL15" t="s">
        <v>167</v>
      </c>
      <c r="AM15" t="s">
        <v>156</v>
      </c>
    </row>
    <row r="16" spans="2:39" ht="23.25" x14ac:dyDescent="0.65">
      <c r="B16" s="3">
        <v>5</v>
      </c>
      <c r="C16" s="4" t="s">
        <v>8</v>
      </c>
      <c r="D16" s="3">
        <v>10</v>
      </c>
      <c r="E16" s="4"/>
      <c r="F16" s="42"/>
      <c r="H16" s="3">
        <v>5</v>
      </c>
      <c r="I16" s="4" t="s">
        <v>8</v>
      </c>
      <c r="J16" s="3">
        <v>37</v>
      </c>
      <c r="K16" s="4"/>
      <c r="L16" s="42"/>
      <c r="N16" s="45">
        <v>14</v>
      </c>
      <c r="O16" s="44" t="s">
        <v>108</v>
      </c>
      <c r="P16" s="49" t="s">
        <v>93</v>
      </c>
      <c r="Q16" s="44" t="s">
        <v>94</v>
      </c>
      <c r="R16" s="49">
        <v>30</v>
      </c>
      <c r="S16" s="49">
        <v>58</v>
      </c>
      <c r="T16" s="49">
        <v>65</v>
      </c>
      <c r="U16" s="49">
        <v>72</v>
      </c>
      <c r="V16" s="49">
        <v>41</v>
      </c>
      <c r="W16" s="49">
        <v>50</v>
      </c>
      <c r="X16" s="49">
        <v>28</v>
      </c>
      <c r="Y16" s="49">
        <v>40</v>
      </c>
      <c r="Z16" s="49">
        <v>43</v>
      </c>
      <c r="AA16" s="49">
        <v>25</v>
      </c>
      <c r="AB16" s="49">
        <v>25</v>
      </c>
      <c r="AC16" s="49">
        <v>49</v>
      </c>
      <c r="AD16" s="49">
        <v>46</v>
      </c>
      <c r="AE16" s="49">
        <v>50</v>
      </c>
      <c r="AF16" s="49">
        <v>50</v>
      </c>
      <c r="AG16" s="5"/>
      <c r="AH16" s="51"/>
      <c r="AI16" s="42"/>
      <c r="AJ16" s="52" t="str">
        <f t="shared" si="0"/>
        <v>F</v>
      </c>
      <c r="AK16" s="52" t="str">
        <f t="shared" si="1"/>
        <v>F</v>
      </c>
      <c r="AM16" t="s">
        <v>16</v>
      </c>
    </row>
    <row r="17" spans="1:37" ht="23.25" x14ac:dyDescent="0.65">
      <c r="B17" s="3">
        <v>6</v>
      </c>
      <c r="C17" s="4" t="s">
        <v>9</v>
      </c>
      <c r="D17" s="3">
        <v>20</v>
      </c>
      <c r="E17" s="4"/>
      <c r="F17" s="42"/>
      <c r="H17" s="3">
        <v>6</v>
      </c>
      <c r="I17" s="4" t="s">
        <v>9</v>
      </c>
      <c r="J17" s="3">
        <v>20</v>
      </c>
      <c r="K17" s="4"/>
      <c r="L17" s="42"/>
      <c r="N17" s="45">
        <v>15</v>
      </c>
      <c r="O17" s="44" t="s">
        <v>109</v>
      </c>
      <c r="P17" s="49" t="s">
        <v>93</v>
      </c>
      <c r="Q17" s="44" t="s">
        <v>94</v>
      </c>
      <c r="R17" s="49">
        <v>47</v>
      </c>
      <c r="S17" s="49">
        <v>94</v>
      </c>
      <c r="T17" s="49">
        <v>75</v>
      </c>
      <c r="U17" s="49">
        <v>71</v>
      </c>
      <c r="V17" s="49">
        <v>50</v>
      </c>
      <c r="W17" s="49">
        <v>50</v>
      </c>
      <c r="X17" s="49">
        <v>50</v>
      </c>
      <c r="Y17" s="49">
        <v>49</v>
      </c>
      <c r="Z17" s="49">
        <v>45</v>
      </c>
      <c r="AA17" s="49">
        <v>20</v>
      </c>
      <c r="AB17" s="49">
        <v>25</v>
      </c>
      <c r="AC17" s="49">
        <v>49</v>
      </c>
      <c r="AD17" s="49">
        <v>30</v>
      </c>
      <c r="AE17" s="49">
        <v>35</v>
      </c>
      <c r="AF17" s="49">
        <v>50</v>
      </c>
      <c r="AG17" s="5"/>
      <c r="AH17" s="51"/>
      <c r="AI17" s="42"/>
      <c r="AJ17" s="52" t="str">
        <f t="shared" si="0"/>
        <v>F</v>
      </c>
      <c r="AK17" s="52" t="str">
        <f t="shared" si="1"/>
        <v>F</v>
      </c>
    </row>
    <row r="18" spans="1:37" ht="23.25" x14ac:dyDescent="0.65">
      <c r="B18" s="3">
        <v>7</v>
      </c>
      <c r="C18" s="4" t="s">
        <v>71</v>
      </c>
      <c r="D18" s="3">
        <v>40</v>
      </c>
      <c r="E18" s="6"/>
      <c r="F18" s="42"/>
      <c r="N18" s="45">
        <v>16</v>
      </c>
      <c r="O18" s="44" t="s">
        <v>110</v>
      </c>
      <c r="P18" s="49" t="s">
        <v>100</v>
      </c>
      <c r="Q18" s="44" t="s">
        <v>94</v>
      </c>
      <c r="R18" s="49">
        <v>40</v>
      </c>
      <c r="S18" s="49">
        <v>35</v>
      </c>
      <c r="T18" s="49">
        <v>75</v>
      </c>
      <c r="U18" s="49">
        <v>70</v>
      </c>
      <c r="V18" s="49">
        <v>42</v>
      </c>
      <c r="W18" s="49">
        <v>50</v>
      </c>
      <c r="X18" s="49">
        <v>25</v>
      </c>
      <c r="Y18" s="49">
        <v>41</v>
      </c>
      <c r="Z18" s="49">
        <v>43</v>
      </c>
      <c r="AA18" s="49">
        <v>31</v>
      </c>
      <c r="AB18" s="49">
        <v>25</v>
      </c>
      <c r="AC18" s="49">
        <v>49</v>
      </c>
      <c r="AD18" s="49">
        <v>38</v>
      </c>
      <c r="AE18" s="49">
        <v>33</v>
      </c>
      <c r="AF18" s="49">
        <v>50</v>
      </c>
      <c r="AG18" s="5"/>
      <c r="AH18" s="51"/>
      <c r="AI18" s="42"/>
      <c r="AJ18" s="52" t="str">
        <f t="shared" si="0"/>
        <v>F</v>
      </c>
      <c r="AK18" s="52" t="str">
        <f t="shared" si="1"/>
        <v>F</v>
      </c>
    </row>
    <row r="19" spans="1:37" ht="23.25" x14ac:dyDescent="0.65">
      <c r="E19"/>
      <c r="I19" s="73" t="s">
        <v>189</v>
      </c>
      <c r="J19" s="73"/>
      <c r="K19" s="73" t="s">
        <v>188</v>
      </c>
      <c r="L19" s="73"/>
      <c r="N19" s="45">
        <v>17</v>
      </c>
      <c r="O19" s="44" t="s">
        <v>111</v>
      </c>
      <c r="P19" s="49" t="s">
        <v>93</v>
      </c>
      <c r="Q19" s="44" t="s">
        <v>94</v>
      </c>
      <c r="R19" s="49">
        <v>41</v>
      </c>
      <c r="S19" s="49">
        <v>89</v>
      </c>
      <c r="T19" s="49">
        <v>67</v>
      </c>
      <c r="U19" s="49">
        <v>72</v>
      </c>
      <c r="V19" s="49">
        <v>65</v>
      </c>
      <c r="W19" s="49">
        <v>50</v>
      </c>
      <c r="X19" s="49">
        <v>46</v>
      </c>
      <c r="Y19" s="49">
        <v>39</v>
      </c>
      <c r="Z19" s="49">
        <v>44</v>
      </c>
      <c r="AA19" s="49">
        <v>29</v>
      </c>
      <c r="AB19" s="49">
        <v>25</v>
      </c>
      <c r="AC19" s="49">
        <v>49</v>
      </c>
      <c r="AD19" s="49">
        <v>41</v>
      </c>
      <c r="AE19" s="49">
        <v>41</v>
      </c>
      <c r="AF19" s="49">
        <v>50</v>
      </c>
      <c r="AG19" s="5"/>
      <c r="AH19" s="51"/>
      <c r="AI19" s="42"/>
      <c r="AJ19" s="52" t="str">
        <f t="shared" si="0"/>
        <v>F</v>
      </c>
      <c r="AK19" s="52" t="str">
        <f t="shared" si="1"/>
        <v>F</v>
      </c>
    </row>
    <row r="20" spans="1:37" ht="23.25" x14ac:dyDescent="0.65">
      <c r="A20" s="9"/>
      <c r="B20" s="68" t="s">
        <v>10</v>
      </c>
      <c r="C20" s="68"/>
      <c r="D20" s="68"/>
      <c r="E20" s="68"/>
      <c r="F20" s="68"/>
      <c r="G20" s="9"/>
      <c r="H20" s="69"/>
      <c r="I20" t="s">
        <v>166</v>
      </c>
      <c r="J20" t="s">
        <v>16</v>
      </c>
      <c r="K20" s="66" t="s">
        <v>185</v>
      </c>
      <c r="L20" s="66" t="s">
        <v>26</v>
      </c>
      <c r="M20" s="9"/>
      <c r="N20" s="45">
        <v>18</v>
      </c>
      <c r="O20" s="44" t="s">
        <v>112</v>
      </c>
      <c r="P20" s="49" t="s">
        <v>100</v>
      </c>
      <c r="Q20" s="44" t="s">
        <v>94</v>
      </c>
      <c r="R20" s="49">
        <v>38</v>
      </c>
      <c r="S20" s="49">
        <v>25</v>
      </c>
      <c r="T20" s="49">
        <v>38</v>
      </c>
      <c r="U20" s="49">
        <v>50</v>
      </c>
      <c r="V20" s="49">
        <v>36</v>
      </c>
      <c r="W20" s="49">
        <v>47</v>
      </c>
      <c r="X20" s="49">
        <v>31</v>
      </c>
      <c r="Y20" s="49">
        <v>37</v>
      </c>
      <c r="Z20" s="49">
        <v>0</v>
      </c>
      <c r="AA20" s="49">
        <v>40</v>
      </c>
      <c r="AB20" s="49">
        <v>25</v>
      </c>
      <c r="AC20" s="49">
        <v>49</v>
      </c>
      <c r="AD20" s="49">
        <v>25</v>
      </c>
      <c r="AE20" s="49">
        <v>29</v>
      </c>
      <c r="AF20" s="49">
        <v>50</v>
      </c>
      <c r="AG20" s="5"/>
      <c r="AH20" s="51"/>
      <c r="AI20" s="42"/>
      <c r="AJ20" s="52" t="str">
        <f t="shared" si="0"/>
        <v>F</v>
      </c>
      <c r="AK20" s="52" t="str">
        <f t="shared" si="1"/>
        <v>F</v>
      </c>
    </row>
    <row r="21" spans="1:37" ht="23.25" x14ac:dyDescent="0.65">
      <c r="A21" s="9"/>
      <c r="G21" s="9"/>
      <c r="H21" s="69"/>
      <c r="I21" t="s">
        <v>155</v>
      </c>
      <c r="J21" t="s">
        <v>156</v>
      </c>
      <c r="K21" s="66" t="s">
        <v>163</v>
      </c>
      <c r="L21" s="66" t="s">
        <v>27</v>
      </c>
      <c r="M21" s="9"/>
      <c r="N21" s="45">
        <v>19</v>
      </c>
      <c r="O21" s="44" t="s">
        <v>113</v>
      </c>
      <c r="P21" s="49" t="s">
        <v>100</v>
      </c>
      <c r="Q21" s="44" t="s">
        <v>94</v>
      </c>
      <c r="R21" s="49">
        <v>30</v>
      </c>
      <c r="S21" s="49">
        <v>80</v>
      </c>
      <c r="T21" s="49">
        <v>65</v>
      </c>
      <c r="U21" s="49">
        <v>38</v>
      </c>
      <c r="V21" s="49">
        <v>36</v>
      </c>
      <c r="W21" s="49">
        <v>45</v>
      </c>
      <c r="X21" s="49">
        <v>32</v>
      </c>
      <c r="Y21" s="49">
        <v>42</v>
      </c>
      <c r="Z21" s="49">
        <v>45</v>
      </c>
      <c r="AA21" s="49">
        <v>0</v>
      </c>
      <c r="AB21" s="49">
        <v>13</v>
      </c>
      <c r="AC21" s="49">
        <v>49</v>
      </c>
      <c r="AD21" s="49">
        <v>38</v>
      </c>
      <c r="AE21" s="49">
        <v>25</v>
      </c>
      <c r="AF21" s="49">
        <v>50</v>
      </c>
      <c r="AG21" s="5"/>
      <c r="AH21" s="51"/>
      <c r="AI21" s="42"/>
      <c r="AJ21" s="52" t="str">
        <f t="shared" si="0"/>
        <v>F</v>
      </c>
      <c r="AK21" s="52" t="str">
        <f t="shared" si="1"/>
        <v>F</v>
      </c>
    </row>
    <row r="22" spans="1:37" ht="23.25" x14ac:dyDescent="0.65">
      <c r="A22" s="9"/>
      <c r="B22" s="2"/>
      <c r="C22" s="2"/>
      <c r="D22" s="2"/>
      <c r="E22" s="2"/>
      <c r="F22" s="9"/>
      <c r="G22" s="9"/>
      <c r="H22" s="69"/>
      <c r="I22" t="s">
        <v>157</v>
      </c>
      <c r="J22" t="s">
        <v>158</v>
      </c>
      <c r="K22" s="66" t="s">
        <v>164</v>
      </c>
      <c r="L22" s="66" t="s">
        <v>160</v>
      </c>
      <c r="M22" s="9"/>
      <c r="N22" s="45">
        <v>20</v>
      </c>
      <c r="O22" s="44" t="s">
        <v>114</v>
      </c>
      <c r="P22" s="49" t="s">
        <v>100</v>
      </c>
      <c r="Q22" s="44" t="s">
        <v>94</v>
      </c>
      <c r="R22" s="49">
        <v>31</v>
      </c>
      <c r="S22" s="49">
        <v>58</v>
      </c>
      <c r="T22" s="49">
        <v>38</v>
      </c>
      <c r="U22" s="49">
        <v>40</v>
      </c>
      <c r="V22" s="49">
        <v>37</v>
      </c>
      <c r="W22" s="49">
        <v>45</v>
      </c>
      <c r="X22" s="49">
        <v>31</v>
      </c>
      <c r="Y22" s="49">
        <v>46</v>
      </c>
      <c r="Z22" s="49">
        <v>45</v>
      </c>
      <c r="AA22" s="49">
        <v>0</v>
      </c>
      <c r="AB22" s="49">
        <v>25</v>
      </c>
      <c r="AC22" s="49">
        <v>49</v>
      </c>
      <c r="AD22" s="49">
        <v>31</v>
      </c>
      <c r="AE22" s="49">
        <v>27</v>
      </c>
      <c r="AF22" s="49">
        <v>20</v>
      </c>
      <c r="AG22" s="5"/>
      <c r="AH22" s="51"/>
      <c r="AI22" s="42"/>
      <c r="AJ22" s="52" t="str">
        <f t="shared" si="0"/>
        <v>F</v>
      </c>
      <c r="AK22" s="52" t="str">
        <f t="shared" si="1"/>
        <v>F</v>
      </c>
    </row>
    <row r="23" spans="1:37" ht="23.25" x14ac:dyDescent="0.65">
      <c r="A23" s="9"/>
      <c r="B23" s="2"/>
      <c r="C23" s="2"/>
      <c r="D23" s="2"/>
      <c r="E23" s="2"/>
      <c r="F23" s="9"/>
      <c r="G23" s="9"/>
      <c r="H23" s="69"/>
      <c r="I23" t="s">
        <v>159</v>
      </c>
      <c r="J23" t="s">
        <v>160</v>
      </c>
      <c r="K23" s="66" t="s">
        <v>165</v>
      </c>
      <c r="L23" s="66" t="s">
        <v>158</v>
      </c>
      <c r="M23" s="9"/>
      <c r="N23" s="45">
        <v>21</v>
      </c>
      <c r="O23" s="44" t="s">
        <v>115</v>
      </c>
      <c r="P23" s="49" t="s">
        <v>93</v>
      </c>
      <c r="Q23" s="44" t="s">
        <v>94</v>
      </c>
      <c r="R23" s="49">
        <v>35</v>
      </c>
      <c r="S23" s="49">
        <v>0</v>
      </c>
      <c r="T23" s="49">
        <v>63</v>
      </c>
      <c r="U23" s="49">
        <v>69</v>
      </c>
      <c r="V23" s="49">
        <v>36</v>
      </c>
      <c r="W23" s="49">
        <v>50</v>
      </c>
      <c r="X23" s="49">
        <v>32</v>
      </c>
      <c r="Y23" s="49">
        <v>46</v>
      </c>
      <c r="Z23" s="49">
        <v>46</v>
      </c>
      <c r="AA23" s="49">
        <v>34</v>
      </c>
      <c r="AB23" s="49">
        <v>25</v>
      </c>
      <c r="AC23" s="49">
        <v>49</v>
      </c>
      <c r="AD23" s="49">
        <v>39</v>
      </c>
      <c r="AE23" s="49">
        <v>46</v>
      </c>
      <c r="AF23" s="49">
        <v>50</v>
      </c>
      <c r="AG23" s="5"/>
      <c r="AH23" s="51"/>
      <c r="AI23" s="42"/>
      <c r="AJ23" s="52" t="str">
        <f t="shared" si="0"/>
        <v>F</v>
      </c>
      <c r="AK23" s="52" t="str">
        <f t="shared" si="1"/>
        <v>F</v>
      </c>
    </row>
    <row r="24" spans="1:37" ht="23.25" x14ac:dyDescent="0.65">
      <c r="A24" s="9"/>
      <c r="B24" s="2"/>
      <c r="C24" s="2"/>
      <c r="D24" s="2"/>
      <c r="E24" s="2"/>
      <c r="F24" s="9"/>
      <c r="G24" s="9"/>
      <c r="H24" s="10"/>
      <c r="I24" t="s">
        <v>161</v>
      </c>
      <c r="J24" t="s">
        <v>27</v>
      </c>
      <c r="K24" s="66" t="s">
        <v>167</v>
      </c>
      <c r="L24" s="66" t="s">
        <v>156</v>
      </c>
      <c r="M24" s="9"/>
      <c r="N24" s="45">
        <v>22</v>
      </c>
      <c r="O24" s="44" t="s">
        <v>116</v>
      </c>
      <c r="P24" s="49" t="s">
        <v>100</v>
      </c>
      <c r="Q24" s="44" t="s">
        <v>94</v>
      </c>
      <c r="R24" s="49">
        <v>20</v>
      </c>
      <c r="S24" s="49">
        <v>0</v>
      </c>
      <c r="T24" s="49">
        <v>38</v>
      </c>
      <c r="U24" s="49">
        <v>38</v>
      </c>
      <c r="V24" s="49">
        <v>15</v>
      </c>
      <c r="W24" s="49">
        <v>27</v>
      </c>
      <c r="X24" s="49">
        <v>25</v>
      </c>
      <c r="Y24" s="49">
        <v>25</v>
      </c>
      <c r="Z24" s="49">
        <v>43</v>
      </c>
      <c r="AA24" s="49">
        <v>0</v>
      </c>
      <c r="AB24" s="49">
        <v>25</v>
      </c>
      <c r="AC24" s="49">
        <v>49</v>
      </c>
      <c r="AD24" s="49">
        <v>32</v>
      </c>
      <c r="AE24" s="49">
        <v>25</v>
      </c>
      <c r="AF24" s="49">
        <v>30</v>
      </c>
      <c r="AG24" s="5"/>
      <c r="AH24" s="51"/>
      <c r="AI24" s="42"/>
      <c r="AJ24" s="52" t="str">
        <f t="shared" si="0"/>
        <v>F</v>
      </c>
      <c r="AK24" s="52" t="str">
        <f t="shared" si="1"/>
        <v>F</v>
      </c>
    </row>
    <row r="25" spans="1:37" ht="23.25" x14ac:dyDescent="0.65">
      <c r="A25" s="9"/>
      <c r="B25" s="2"/>
      <c r="C25" s="2"/>
      <c r="D25" s="2"/>
      <c r="E25" s="2"/>
      <c r="F25" s="9"/>
      <c r="G25" s="9"/>
      <c r="H25" s="9"/>
      <c r="J25" t="s">
        <v>26</v>
      </c>
      <c r="K25" s="66"/>
      <c r="L25" s="66" t="s">
        <v>16</v>
      </c>
      <c r="M25" s="9"/>
      <c r="N25" s="45">
        <v>23</v>
      </c>
      <c r="O25" s="44" t="s">
        <v>117</v>
      </c>
      <c r="P25" s="49" t="s">
        <v>93</v>
      </c>
      <c r="Q25" s="44" t="s">
        <v>94</v>
      </c>
      <c r="R25" s="49">
        <v>40</v>
      </c>
      <c r="S25" s="49">
        <v>60</v>
      </c>
      <c r="T25" s="49">
        <v>38</v>
      </c>
      <c r="U25" s="49">
        <v>38</v>
      </c>
      <c r="V25" s="49">
        <v>28</v>
      </c>
      <c r="W25" s="49">
        <v>43</v>
      </c>
      <c r="X25" s="49">
        <v>25</v>
      </c>
      <c r="Y25" s="49">
        <v>37</v>
      </c>
      <c r="Z25" s="49">
        <v>40</v>
      </c>
      <c r="AA25" s="49">
        <v>48</v>
      </c>
      <c r="AB25" s="49">
        <v>25</v>
      </c>
      <c r="AC25" s="49">
        <v>45</v>
      </c>
      <c r="AD25" s="49">
        <v>39</v>
      </c>
      <c r="AE25" s="49">
        <v>25</v>
      </c>
      <c r="AF25" s="49">
        <v>50</v>
      </c>
      <c r="AG25" s="5"/>
      <c r="AH25" s="51"/>
      <c r="AI25" s="42"/>
      <c r="AJ25" s="52" t="str">
        <f t="shared" si="0"/>
        <v>F</v>
      </c>
      <c r="AK25" s="52" t="str">
        <f t="shared" si="1"/>
        <v>F</v>
      </c>
    </row>
    <row r="26" spans="1:37" ht="23.25" x14ac:dyDescent="0.65">
      <c r="A26" s="9"/>
      <c r="B26" s="2"/>
      <c r="C26" s="2"/>
      <c r="D26" s="2"/>
      <c r="E26" s="2"/>
      <c r="F26" s="9"/>
      <c r="G26" s="9"/>
      <c r="H26" s="9"/>
      <c r="I26" s="9"/>
      <c r="J26" s="9"/>
      <c r="K26" s="9"/>
      <c r="L26" s="9"/>
      <c r="M26" s="9"/>
      <c r="N26" s="45">
        <v>24</v>
      </c>
      <c r="O26" s="44" t="s">
        <v>118</v>
      </c>
      <c r="P26" s="49" t="s">
        <v>100</v>
      </c>
      <c r="Q26" s="44" t="s">
        <v>94</v>
      </c>
      <c r="R26" s="49">
        <v>28</v>
      </c>
      <c r="S26" s="49">
        <v>15</v>
      </c>
      <c r="T26" s="49">
        <v>52</v>
      </c>
      <c r="U26" s="49">
        <v>40</v>
      </c>
      <c r="V26" s="49">
        <v>40</v>
      </c>
      <c r="W26" s="49">
        <v>37</v>
      </c>
      <c r="X26" s="49">
        <v>28</v>
      </c>
      <c r="Y26" s="49">
        <v>37</v>
      </c>
      <c r="Z26" s="49">
        <v>42</v>
      </c>
      <c r="AA26" s="49">
        <v>37</v>
      </c>
      <c r="AB26" s="49">
        <v>25</v>
      </c>
      <c r="AC26" s="49">
        <v>49</v>
      </c>
      <c r="AD26" s="49">
        <v>39</v>
      </c>
      <c r="AE26" s="49">
        <v>25</v>
      </c>
      <c r="AF26" s="49">
        <v>50</v>
      </c>
      <c r="AG26" s="5"/>
      <c r="AH26" s="51"/>
      <c r="AI26" s="42"/>
      <c r="AJ26" s="52" t="str">
        <f t="shared" si="0"/>
        <v>F</v>
      </c>
      <c r="AK26" s="52" t="str">
        <f t="shared" si="1"/>
        <v>F</v>
      </c>
    </row>
    <row r="27" spans="1:37" ht="23.25" x14ac:dyDescent="0.65">
      <c r="A27" s="9"/>
      <c r="B27" s="2"/>
      <c r="C27" s="2"/>
      <c r="D27" s="2"/>
      <c r="E27" s="2"/>
      <c r="F27" s="9"/>
      <c r="G27" s="9"/>
      <c r="H27" s="9"/>
      <c r="I27" s="9"/>
      <c r="J27" s="9"/>
      <c r="K27" s="9"/>
      <c r="L27" s="9"/>
      <c r="M27" s="9"/>
      <c r="N27" s="45">
        <v>25</v>
      </c>
      <c r="O27" s="44" t="s">
        <v>119</v>
      </c>
      <c r="P27" s="49" t="s">
        <v>93</v>
      </c>
      <c r="Q27" s="44" t="s">
        <v>94</v>
      </c>
      <c r="R27" s="49">
        <v>47</v>
      </c>
      <c r="S27" s="49">
        <v>60</v>
      </c>
      <c r="T27" s="49">
        <v>38</v>
      </c>
      <c r="U27" s="49">
        <v>38</v>
      </c>
      <c r="V27" s="49">
        <v>19</v>
      </c>
      <c r="W27" s="49">
        <v>46</v>
      </c>
      <c r="X27" s="49">
        <v>25</v>
      </c>
      <c r="Y27" s="49">
        <v>41</v>
      </c>
      <c r="Z27" s="49">
        <v>46</v>
      </c>
      <c r="AA27" s="49">
        <v>34</v>
      </c>
      <c r="AB27" s="49">
        <v>25</v>
      </c>
      <c r="AC27" s="49">
        <v>49</v>
      </c>
      <c r="AD27" s="49">
        <v>35</v>
      </c>
      <c r="AE27" s="49">
        <v>26</v>
      </c>
      <c r="AF27" s="49">
        <v>30</v>
      </c>
      <c r="AG27" s="5"/>
      <c r="AH27" s="51"/>
      <c r="AI27" s="42"/>
      <c r="AJ27" s="52" t="str">
        <f t="shared" si="0"/>
        <v>F</v>
      </c>
      <c r="AK27" s="52" t="str">
        <f t="shared" si="1"/>
        <v>F</v>
      </c>
    </row>
    <row r="28" spans="1:37" ht="23.25" x14ac:dyDescent="0.65">
      <c r="A28" s="9"/>
      <c r="B28" s="2"/>
      <c r="C28" s="2"/>
      <c r="D28" s="2"/>
      <c r="E28" s="2"/>
      <c r="F28" s="9"/>
      <c r="G28" s="9"/>
      <c r="H28" s="9"/>
      <c r="I28" s="9"/>
      <c r="J28" s="9"/>
      <c r="K28" s="9"/>
      <c r="L28" s="9"/>
      <c r="M28" s="9"/>
      <c r="N28" s="45">
        <v>26</v>
      </c>
      <c r="O28" s="44" t="s">
        <v>120</v>
      </c>
      <c r="P28" s="49" t="s">
        <v>93</v>
      </c>
      <c r="Q28" s="44" t="s">
        <v>94</v>
      </c>
      <c r="R28" s="49">
        <v>42</v>
      </c>
      <c r="S28" s="49" t="s">
        <v>26</v>
      </c>
      <c r="T28" s="49">
        <v>38</v>
      </c>
      <c r="U28" s="49">
        <v>50</v>
      </c>
      <c r="V28" s="49">
        <v>16</v>
      </c>
      <c r="W28" s="49">
        <v>50</v>
      </c>
      <c r="X28" s="49">
        <v>42</v>
      </c>
      <c r="Y28" s="49">
        <v>40</v>
      </c>
      <c r="Z28" s="49">
        <v>45</v>
      </c>
      <c r="AA28" s="49">
        <v>21</v>
      </c>
      <c r="AB28" s="49">
        <v>25</v>
      </c>
      <c r="AC28" s="49">
        <v>49</v>
      </c>
      <c r="AD28" s="49">
        <v>32</v>
      </c>
      <c r="AE28" s="49">
        <v>29</v>
      </c>
      <c r="AF28" s="49">
        <v>30</v>
      </c>
      <c r="AG28" s="5"/>
      <c r="AH28" s="51"/>
      <c r="AI28" s="42"/>
      <c r="AJ28" s="52" t="str">
        <f t="shared" si="0"/>
        <v>F</v>
      </c>
      <c r="AK28" s="52" t="str">
        <f t="shared" si="1"/>
        <v>F</v>
      </c>
    </row>
    <row r="29" spans="1:37" ht="23.25" x14ac:dyDescent="0.65">
      <c r="N29" s="45">
        <v>27</v>
      </c>
      <c r="O29" s="44" t="s">
        <v>121</v>
      </c>
      <c r="P29" s="49" t="s">
        <v>93</v>
      </c>
      <c r="Q29" s="44" t="s">
        <v>94</v>
      </c>
      <c r="R29" s="49">
        <v>30</v>
      </c>
      <c r="S29" s="49">
        <v>96</v>
      </c>
      <c r="T29" s="49">
        <v>38</v>
      </c>
      <c r="U29" s="49">
        <v>50</v>
      </c>
      <c r="V29" s="49">
        <v>28</v>
      </c>
      <c r="W29" s="49">
        <v>50</v>
      </c>
      <c r="X29" s="49">
        <v>25</v>
      </c>
      <c r="Y29" s="49">
        <v>47</v>
      </c>
      <c r="Z29" s="49">
        <v>40</v>
      </c>
      <c r="AA29" s="49">
        <v>22</v>
      </c>
      <c r="AB29" s="49">
        <v>25</v>
      </c>
      <c r="AC29" s="49">
        <v>49</v>
      </c>
      <c r="AD29" s="49">
        <v>37</v>
      </c>
      <c r="AE29" s="49">
        <v>26</v>
      </c>
      <c r="AF29" s="49">
        <v>30</v>
      </c>
      <c r="AG29" s="5"/>
      <c r="AH29" s="51"/>
      <c r="AI29" s="42"/>
      <c r="AJ29" s="52" t="str">
        <f t="shared" si="0"/>
        <v>F</v>
      </c>
      <c r="AK29" s="52" t="str">
        <f t="shared" si="1"/>
        <v>F</v>
      </c>
    </row>
    <row r="30" spans="1:37" ht="23.25" x14ac:dyDescent="0.65">
      <c r="N30" s="45">
        <v>28</v>
      </c>
      <c r="O30" s="44" t="s">
        <v>122</v>
      </c>
      <c r="P30" s="49" t="s">
        <v>100</v>
      </c>
      <c r="Q30" s="44" t="s">
        <v>94</v>
      </c>
      <c r="R30" s="49">
        <v>42</v>
      </c>
      <c r="S30" s="49">
        <v>80</v>
      </c>
      <c r="T30" s="49">
        <v>45</v>
      </c>
      <c r="U30" s="49">
        <v>70</v>
      </c>
      <c r="V30" s="49">
        <v>50</v>
      </c>
      <c r="W30" s="49">
        <v>50</v>
      </c>
      <c r="X30" s="49">
        <v>25</v>
      </c>
      <c r="Y30" s="49">
        <v>48</v>
      </c>
      <c r="Z30" s="49">
        <v>45</v>
      </c>
      <c r="AA30" s="49">
        <v>0</v>
      </c>
      <c r="AB30" s="49">
        <v>25</v>
      </c>
      <c r="AC30" s="49">
        <v>49</v>
      </c>
      <c r="AD30" s="49">
        <v>35</v>
      </c>
      <c r="AE30" s="49">
        <v>25</v>
      </c>
      <c r="AF30" s="49">
        <v>30</v>
      </c>
      <c r="AG30" s="5"/>
      <c r="AH30" s="51"/>
      <c r="AI30" s="42"/>
      <c r="AJ30" s="52" t="str">
        <f t="shared" si="0"/>
        <v>F</v>
      </c>
      <c r="AK30" s="52" t="str">
        <f t="shared" si="1"/>
        <v>F</v>
      </c>
    </row>
    <row r="31" spans="1:37" ht="23.25" x14ac:dyDescent="0.65">
      <c r="N31" s="45">
        <v>29</v>
      </c>
      <c r="O31" s="44" t="s">
        <v>123</v>
      </c>
      <c r="P31" s="49" t="s">
        <v>100</v>
      </c>
      <c r="Q31" s="44" t="s">
        <v>94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49">
        <v>0</v>
      </c>
      <c r="AG31" s="5"/>
      <c r="AH31" s="51"/>
      <c r="AI31" s="42"/>
      <c r="AJ31" s="52" t="str">
        <f t="shared" si="0"/>
        <v>F</v>
      </c>
      <c r="AK31" s="52" t="str">
        <f t="shared" si="1"/>
        <v>F</v>
      </c>
    </row>
    <row r="32" spans="1:37" ht="23.25" x14ac:dyDescent="0.65">
      <c r="N32" s="45">
        <v>30</v>
      </c>
      <c r="O32" s="44" t="s">
        <v>124</v>
      </c>
      <c r="P32" s="49" t="s">
        <v>93</v>
      </c>
      <c r="Q32" s="44" t="s">
        <v>94</v>
      </c>
      <c r="R32" s="49">
        <v>40</v>
      </c>
      <c r="S32" s="49">
        <v>77</v>
      </c>
      <c r="T32" s="49">
        <v>61</v>
      </c>
      <c r="U32" s="49">
        <v>66</v>
      </c>
      <c r="V32" s="49">
        <v>54</v>
      </c>
      <c r="W32" s="49">
        <v>50</v>
      </c>
      <c r="X32" s="49">
        <v>50</v>
      </c>
      <c r="Y32" s="49">
        <v>45</v>
      </c>
      <c r="Z32" s="49">
        <v>47</v>
      </c>
      <c r="AA32" s="49">
        <v>44</v>
      </c>
      <c r="AB32" s="49">
        <v>25</v>
      </c>
      <c r="AC32" s="49">
        <v>49</v>
      </c>
      <c r="AD32" s="49">
        <v>44</v>
      </c>
      <c r="AE32" s="49">
        <v>35</v>
      </c>
      <c r="AF32" s="49">
        <v>50</v>
      </c>
      <c r="AG32" s="5"/>
      <c r="AH32" s="51"/>
      <c r="AI32" s="42"/>
      <c r="AJ32" s="52" t="str">
        <f t="shared" si="0"/>
        <v>F</v>
      </c>
      <c r="AK32" s="52" t="str">
        <f t="shared" si="1"/>
        <v>F</v>
      </c>
    </row>
    <row r="33" spans="14:37" ht="23.25" x14ac:dyDescent="0.65">
      <c r="N33" s="45">
        <v>31</v>
      </c>
      <c r="O33" s="44" t="s">
        <v>125</v>
      </c>
      <c r="P33" s="49" t="s">
        <v>100</v>
      </c>
      <c r="Q33" s="44" t="s">
        <v>94</v>
      </c>
      <c r="R33" s="49">
        <v>45</v>
      </c>
      <c r="S33" s="49">
        <v>15</v>
      </c>
      <c r="T33" s="49">
        <v>75</v>
      </c>
      <c r="U33" s="49">
        <v>66</v>
      </c>
      <c r="V33" s="49">
        <v>74</v>
      </c>
      <c r="W33" s="49">
        <v>32</v>
      </c>
      <c r="X33" s="49">
        <v>34</v>
      </c>
      <c r="Y33" s="49">
        <v>34</v>
      </c>
      <c r="Z33" s="49">
        <v>44</v>
      </c>
      <c r="AA33" s="49">
        <v>40</v>
      </c>
      <c r="AB33" s="49">
        <v>25</v>
      </c>
      <c r="AC33" s="49">
        <v>49</v>
      </c>
      <c r="AD33" s="49">
        <v>42</v>
      </c>
      <c r="AE33" s="49">
        <v>28</v>
      </c>
      <c r="AF33" s="49">
        <v>50</v>
      </c>
      <c r="AG33" s="5"/>
      <c r="AH33" s="51"/>
      <c r="AI33" s="42"/>
      <c r="AJ33" s="52" t="str">
        <f t="shared" si="0"/>
        <v>F</v>
      </c>
      <c r="AK33" s="52" t="str">
        <f t="shared" si="1"/>
        <v>F</v>
      </c>
    </row>
    <row r="34" spans="14:37" ht="23.25" x14ac:dyDescent="0.65">
      <c r="N34" s="45">
        <v>32</v>
      </c>
      <c r="O34" s="44" t="s">
        <v>126</v>
      </c>
      <c r="P34" s="49" t="s">
        <v>93</v>
      </c>
      <c r="Q34" s="44" t="s">
        <v>94</v>
      </c>
      <c r="R34" s="49">
        <v>33</v>
      </c>
      <c r="S34" s="49">
        <v>85</v>
      </c>
      <c r="T34" s="49">
        <v>38</v>
      </c>
      <c r="U34" s="49">
        <v>68</v>
      </c>
      <c r="V34" s="49">
        <v>38</v>
      </c>
      <c r="W34" s="49">
        <v>50</v>
      </c>
      <c r="X34" s="49">
        <v>25</v>
      </c>
      <c r="Y34" s="49">
        <v>28</v>
      </c>
      <c r="Z34" s="49">
        <v>43</v>
      </c>
      <c r="AA34" s="49">
        <v>0</v>
      </c>
      <c r="AB34" s="49">
        <v>25</v>
      </c>
      <c r="AC34" s="49">
        <v>49</v>
      </c>
      <c r="AD34" s="49">
        <v>33</v>
      </c>
      <c r="AE34" s="49">
        <v>25</v>
      </c>
      <c r="AF34" s="49">
        <v>30</v>
      </c>
      <c r="AG34" s="5"/>
      <c r="AH34" s="51"/>
      <c r="AI34" s="42"/>
      <c r="AJ34" s="52" t="str">
        <f t="shared" si="0"/>
        <v>F</v>
      </c>
      <c r="AK34" s="52" t="str">
        <f t="shared" si="1"/>
        <v>F</v>
      </c>
    </row>
    <row r="35" spans="14:37" ht="23.25" x14ac:dyDescent="0.65">
      <c r="N35" s="45">
        <v>33</v>
      </c>
      <c r="O35" s="44" t="s">
        <v>127</v>
      </c>
      <c r="P35" s="49" t="s">
        <v>93</v>
      </c>
      <c r="Q35" s="44" t="s">
        <v>94</v>
      </c>
      <c r="R35" s="49">
        <v>47</v>
      </c>
      <c r="S35" s="49">
        <v>65</v>
      </c>
      <c r="T35" s="49">
        <v>73</v>
      </c>
      <c r="U35" s="49">
        <v>63</v>
      </c>
      <c r="V35" s="49">
        <v>46</v>
      </c>
      <c r="W35" s="49">
        <v>50</v>
      </c>
      <c r="X35" s="49">
        <v>50</v>
      </c>
      <c r="Y35" s="49">
        <v>50</v>
      </c>
      <c r="Z35" s="49">
        <v>48</v>
      </c>
      <c r="AA35" s="49">
        <v>46</v>
      </c>
      <c r="AB35" s="49">
        <v>25</v>
      </c>
      <c r="AC35" s="49">
        <v>49</v>
      </c>
      <c r="AD35" s="49">
        <v>38</v>
      </c>
      <c r="AE35" s="49">
        <v>25</v>
      </c>
      <c r="AF35" s="49">
        <v>50</v>
      </c>
      <c r="AG35" s="5"/>
      <c r="AH35" s="51"/>
      <c r="AI35" s="42"/>
      <c r="AJ35" s="52" t="str">
        <f t="shared" si="0"/>
        <v>F</v>
      </c>
      <c r="AK35" s="52" t="str">
        <f t="shared" si="1"/>
        <v>F</v>
      </c>
    </row>
    <row r="36" spans="14:37" ht="23.25" x14ac:dyDescent="0.65">
      <c r="N36" s="45">
        <v>34</v>
      </c>
      <c r="O36" s="44" t="s">
        <v>128</v>
      </c>
      <c r="P36" s="49" t="s">
        <v>100</v>
      </c>
      <c r="Q36" s="44" t="s">
        <v>94</v>
      </c>
      <c r="R36" s="49">
        <v>0</v>
      </c>
      <c r="S36" s="49">
        <v>80</v>
      </c>
      <c r="T36" s="49">
        <v>0</v>
      </c>
      <c r="U36" s="49">
        <v>0</v>
      </c>
      <c r="V36" s="49">
        <v>28</v>
      </c>
      <c r="W36" s="49">
        <v>30</v>
      </c>
      <c r="X36" s="49">
        <v>25</v>
      </c>
      <c r="Y36" s="49">
        <v>30</v>
      </c>
      <c r="Z36" s="49">
        <v>45</v>
      </c>
      <c r="AA36" s="49">
        <v>0</v>
      </c>
      <c r="AB36" s="49">
        <v>25</v>
      </c>
      <c r="AC36" s="49">
        <v>25</v>
      </c>
      <c r="AD36" s="49">
        <v>28</v>
      </c>
      <c r="AE36" s="49">
        <v>25</v>
      </c>
      <c r="AF36" s="49">
        <v>10</v>
      </c>
      <c r="AG36" s="5"/>
      <c r="AH36" s="51"/>
      <c r="AI36" s="42"/>
      <c r="AJ36" s="52" t="str">
        <f t="shared" si="0"/>
        <v>F</v>
      </c>
      <c r="AK36" s="52" t="str">
        <f t="shared" si="1"/>
        <v>F</v>
      </c>
    </row>
    <row r="37" spans="14:37" ht="23.25" x14ac:dyDescent="0.65">
      <c r="N37" s="45">
        <v>35</v>
      </c>
      <c r="O37" s="44" t="s">
        <v>129</v>
      </c>
      <c r="P37" s="49" t="s">
        <v>100</v>
      </c>
      <c r="Q37" s="44" t="s">
        <v>94</v>
      </c>
      <c r="R37" s="49">
        <v>20</v>
      </c>
      <c r="S37" s="49">
        <v>15</v>
      </c>
      <c r="T37" s="49">
        <v>38</v>
      </c>
      <c r="U37" s="49">
        <v>38</v>
      </c>
      <c r="V37" s="49">
        <v>26</v>
      </c>
      <c r="W37" s="49">
        <v>48</v>
      </c>
      <c r="X37" s="49">
        <v>25</v>
      </c>
      <c r="Y37" s="49">
        <v>31</v>
      </c>
      <c r="Z37" s="49">
        <v>42</v>
      </c>
      <c r="AA37" s="49">
        <v>28</v>
      </c>
      <c r="AB37" s="49">
        <v>25</v>
      </c>
      <c r="AC37" s="49">
        <v>49</v>
      </c>
      <c r="AD37" s="49">
        <v>45</v>
      </c>
      <c r="AE37" s="49">
        <v>35</v>
      </c>
      <c r="AF37" s="49">
        <v>20</v>
      </c>
      <c r="AG37" s="5"/>
      <c r="AH37" s="51"/>
      <c r="AI37" s="42"/>
      <c r="AJ37" s="52" t="str">
        <f t="shared" si="0"/>
        <v>F</v>
      </c>
      <c r="AK37" s="52" t="str">
        <f t="shared" si="1"/>
        <v>F</v>
      </c>
    </row>
    <row r="38" spans="14:37" ht="23.25" x14ac:dyDescent="0.65">
      <c r="N38" s="45">
        <v>36</v>
      </c>
      <c r="O38" s="44" t="s">
        <v>130</v>
      </c>
      <c r="P38" s="49" t="s">
        <v>93</v>
      </c>
      <c r="Q38" s="44" t="s">
        <v>94</v>
      </c>
      <c r="R38" s="49">
        <v>38</v>
      </c>
      <c r="S38" s="49">
        <v>0</v>
      </c>
      <c r="T38" s="49">
        <v>73</v>
      </c>
      <c r="U38" s="49">
        <v>68</v>
      </c>
      <c r="V38" s="49">
        <v>65</v>
      </c>
      <c r="W38" s="49">
        <v>50</v>
      </c>
      <c r="X38" s="49">
        <v>50</v>
      </c>
      <c r="Y38" s="49">
        <v>44</v>
      </c>
      <c r="Z38" s="49">
        <v>48</v>
      </c>
      <c r="AA38" s="49">
        <v>36</v>
      </c>
      <c r="AB38" s="49">
        <v>25</v>
      </c>
      <c r="AC38" s="49">
        <v>49</v>
      </c>
      <c r="AD38" s="49">
        <v>40</v>
      </c>
      <c r="AE38" s="49">
        <v>36</v>
      </c>
      <c r="AF38" s="49">
        <v>40</v>
      </c>
      <c r="AG38" s="5"/>
      <c r="AH38" s="51"/>
      <c r="AI38" s="42"/>
      <c r="AJ38" s="52" t="str">
        <f t="shared" si="0"/>
        <v>F</v>
      </c>
      <c r="AK38" s="52" t="str">
        <f t="shared" si="1"/>
        <v>F</v>
      </c>
    </row>
    <row r="39" spans="14:37" ht="23.25" x14ac:dyDescent="0.65">
      <c r="N39" s="45">
        <v>37</v>
      </c>
      <c r="O39" s="44" t="s">
        <v>131</v>
      </c>
      <c r="P39" s="49" t="s">
        <v>100</v>
      </c>
      <c r="Q39" s="44" t="s">
        <v>94</v>
      </c>
      <c r="R39" s="49">
        <v>0</v>
      </c>
      <c r="S39" s="49">
        <v>0</v>
      </c>
      <c r="T39" s="49">
        <v>0</v>
      </c>
      <c r="U39" s="49">
        <v>0</v>
      </c>
      <c r="V39" s="49">
        <v>0</v>
      </c>
      <c r="W39" s="49">
        <v>0</v>
      </c>
      <c r="X39" s="49">
        <v>0</v>
      </c>
      <c r="Y39" s="49">
        <v>0</v>
      </c>
      <c r="Z39" s="49">
        <v>0</v>
      </c>
      <c r="AA39" s="49">
        <v>0</v>
      </c>
      <c r="AB39" s="49">
        <v>0</v>
      </c>
      <c r="AC39" s="49">
        <v>49</v>
      </c>
      <c r="AD39" s="49">
        <v>0</v>
      </c>
      <c r="AE39" s="49">
        <v>0</v>
      </c>
      <c r="AF39" s="49">
        <v>0</v>
      </c>
      <c r="AG39" s="5"/>
      <c r="AH39" s="51"/>
      <c r="AI39" s="42"/>
      <c r="AJ39" s="52" t="str">
        <f t="shared" si="0"/>
        <v>F</v>
      </c>
      <c r="AK39" s="52" t="str">
        <f t="shared" si="1"/>
        <v>F</v>
      </c>
    </row>
    <row r="40" spans="14:37" ht="23.25" x14ac:dyDescent="0.65">
      <c r="N40" s="45">
        <v>38</v>
      </c>
      <c r="O40" s="44" t="s">
        <v>132</v>
      </c>
      <c r="P40" s="49" t="s">
        <v>93</v>
      </c>
      <c r="Q40" s="44" t="s">
        <v>94</v>
      </c>
      <c r="R40" s="49">
        <v>40</v>
      </c>
      <c r="S40" s="49">
        <v>96</v>
      </c>
      <c r="T40" s="49">
        <v>75</v>
      </c>
      <c r="U40" s="49">
        <v>67</v>
      </c>
      <c r="V40" s="49">
        <v>51</v>
      </c>
      <c r="W40" s="49">
        <v>25</v>
      </c>
      <c r="X40" s="49">
        <v>25</v>
      </c>
      <c r="Y40" s="49">
        <v>45</v>
      </c>
      <c r="Z40" s="49">
        <v>47</v>
      </c>
      <c r="AA40" s="49">
        <v>40</v>
      </c>
      <c r="AB40" s="49">
        <v>25</v>
      </c>
      <c r="AC40" s="49">
        <v>49</v>
      </c>
      <c r="AD40" s="49">
        <v>38</v>
      </c>
      <c r="AE40" s="49">
        <v>25</v>
      </c>
      <c r="AF40" s="49">
        <v>30</v>
      </c>
      <c r="AG40" s="5"/>
      <c r="AH40" s="51"/>
      <c r="AI40" s="42"/>
      <c r="AJ40" s="52" t="str">
        <f t="shared" si="0"/>
        <v>F</v>
      </c>
      <c r="AK40" s="52" t="str">
        <f t="shared" si="1"/>
        <v>F</v>
      </c>
    </row>
    <row r="41" spans="14:37" ht="23.25" x14ac:dyDescent="0.65">
      <c r="N41" s="45">
        <v>39</v>
      </c>
      <c r="O41" s="44" t="s">
        <v>133</v>
      </c>
      <c r="P41" s="49" t="s">
        <v>93</v>
      </c>
      <c r="Q41" s="44" t="s">
        <v>94</v>
      </c>
      <c r="R41" s="49">
        <v>31</v>
      </c>
      <c r="S41" s="49">
        <v>0</v>
      </c>
      <c r="T41" s="49">
        <v>0</v>
      </c>
      <c r="U41" s="49">
        <v>0</v>
      </c>
      <c r="V41" s="49">
        <v>21</v>
      </c>
      <c r="W41" s="49">
        <v>50</v>
      </c>
      <c r="X41" s="49">
        <v>48</v>
      </c>
      <c r="Y41" s="49">
        <v>40</v>
      </c>
      <c r="Z41" s="49">
        <v>43</v>
      </c>
      <c r="AA41" s="49">
        <v>0</v>
      </c>
      <c r="AB41" s="49">
        <v>0</v>
      </c>
      <c r="AC41" s="49">
        <v>49</v>
      </c>
      <c r="AD41" s="49">
        <v>0</v>
      </c>
      <c r="AE41" s="49">
        <v>25</v>
      </c>
      <c r="AF41" s="49">
        <v>50</v>
      </c>
      <c r="AG41" s="5"/>
      <c r="AH41" s="51"/>
      <c r="AI41" s="42"/>
      <c r="AJ41" s="52" t="str">
        <f t="shared" si="0"/>
        <v>F</v>
      </c>
      <c r="AK41" s="52" t="str">
        <f t="shared" si="1"/>
        <v>F</v>
      </c>
    </row>
    <row r="42" spans="14:37" ht="23.25" x14ac:dyDescent="0.65">
      <c r="N42" s="45">
        <v>40</v>
      </c>
      <c r="O42" s="44" t="s">
        <v>134</v>
      </c>
      <c r="P42" s="49" t="s">
        <v>93</v>
      </c>
      <c r="Q42" s="44" t="s">
        <v>94</v>
      </c>
      <c r="R42" s="49">
        <v>39</v>
      </c>
      <c r="S42" s="49">
        <v>111</v>
      </c>
      <c r="T42" s="49">
        <v>50</v>
      </c>
      <c r="U42" s="49">
        <v>67</v>
      </c>
      <c r="V42" s="49">
        <v>42</v>
      </c>
      <c r="W42" s="49">
        <v>50</v>
      </c>
      <c r="X42" s="49">
        <v>25</v>
      </c>
      <c r="Y42" s="49">
        <v>48</v>
      </c>
      <c r="Z42" s="49">
        <v>43</v>
      </c>
      <c r="AA42" s="49">
        <v>40</v>
      </c>
      <c r="AB42" s="49">
        <v>25</v>
      </c>
      <c r="AC42" s="49">
        <v>49</v>
      </c>
      <c r="AD42" s="49">
        <v>44</v>
      </c>
      <c r="AE42" s="49">
        <v>26</v>
      </c>
      <c r="AF42" s="49">
        <v>30</v>
      </c>
      <c r="AG42" s="5"/>
      <c r="AH42" s="51"/>
      <c r="AI42" s="42"/>
      <c r="AJ42" s="52" t="str">
        <f t="shared" si="0"/>
        <v>F</v>
      </c>
      <c r="AK42" s="52" t="str">
        <f t="shared" si="1"/>
        <v>F</v>
      </c>
    </row>
    <row r="43" spans="14:37" ht="23.25" x14ac:dyDescent="0.65">
      <c r="N43" s="45">
        <v>41</v>
      </c>
      <c r="O43" s="44" t="s">
        <v>135</v>
      </c>
      <c r="P43" s="49" t="s">
        <v>100</v>
      </c>
      <c r="Q43" s="44" t="s">
        <v>94</v>
      </c>
      <c r="R43" s="49">
        <v>20</v>
      </c>
      <c r="S43" s="49">
        <v>0</v>
      </c>
      <c r="T43" s="49">
        <v>38</v>
      </c>
      <c r="U43" s="49">
        <v>0</v>
      </c>
      <c r="V43" s="49">
        <v>10</v>
      </c>
      <c r="W43" s="49">
        <v>45</v>
      </c>
      <c r="X43" s="49">
        <v>0</v>
      </c>
      <c r="Y43" s="49">
        <v>11</v>
      </c>
      <c r="Z43" s="49">
        <v>45</v>
      </c>
      <c r="AA43" s="49">
        <v>0</v>
      </c>
      <c r="AB43" s="49">
        <v>20</v>
      </c>
      <c r="AC43" s="49">
        <v>25</v>
      </c>
      <c r="AD43" s="49">
        <v>26</v>
      </c>
      <c r="AE43" s="49">
        <v>25</v>
      </c>
      <c r="AF43" s="49">
        <v>50</v>
      </c>
      <c r="AG43" s="5"/>
      <c r="AH43" s="51"/>
      <c r="AI43" s="42"/>
      <c r="AJ43" s="52" t="str">
        <f t="shared" si="0"/>
        <v>F</v>
      </c>
      <c r="AK43" s="52" t="str">
        <f t="shared" si="1"/>
        <v>F</v>
      </c>
    </row>
    <row r="44" spans="14:37" ht="23.25" x14ac:dyDescent="0.65">
      <c r="N44" s="45">
        <v>42</v>
      </c>
      <c r="O44" s="44" t="s">
        <v>136</v>
      </c>
      <c r="P44" s="49" t="s">
        <v>93</v>
      </c>
      <c r="Q44" s="44" t="s">
        <v>94</v>
      </c>
      <c r="R44" s="49">
        <v>50</v>
      </c>
      <c r="S44" s="49">
        <v>15</v>
      </c>
      <c r="T44" s="49">
        <v>38</v>
      </c>
      <c r="U44" s="49">
        <v>66</v>
      </c>
      <c r="V44" s="49">
        <v>35</v>
      </c>
      <c r="W44" s="49">
        <v>31</v>
      </c>
      <c r="X44" s="49">
        <v>30</v>
      </c>
      <c r="Y44" s="49">
        <v>25</v>
      </c>
      <c r="Z44" s="49">
        <v>44</v>
      </c>
      <c r="AA44" s="49">
        <v>0</v>
      </c>
      <c r="AB44" s="49">
        <v>25</v>
      </c>
      <c r="AC44" s="49">
        <v>49</v>
      </c>
      <c r="AD44" s="49">
        <v>33</v>
      </c>
      <c r="AE44" s="49">
        <v>25</v>
      </c>
      <c r="AF44" s="49">
        <v>30</v>
      </c>
      <c r="AG44" s="5"/>
      <c r="AH44" s="51"/>
      <c r="AI44" s="42"/>
      <c r="AJ44" s="52" t="str">
        <f t="shared" si="0"/>
        <v>F</v>
      </c>
      <c r="AK44" s="52" t="str">
        <f t="shared" si="1"/>
        <v>F</v>
      </c>
    </row>
    <row r="45" spans="14:37" ht="23.25" x14ac:dyDescent="0.65">
      <c r="N45" s="45">
        <v>43</v>
      </c>
      <c r="O45" s="44" t="s">
        <v>137</v>
      </c>
      <c r="P45" s="49" t="s">
        <v>100</v>
      </c>
      <c r="Q45" s="44" t="s">
        <v>94</v>
      </c>
      <c r="R45" s="49">
        <v>20</v>
      </c>
      <c r="S45" s="49">
        <v>65</v>
      </c>
      <c r="T45" s="49">
        <v>20</v>
      </c>
      <c r="U45" s="49">
        <v>38</v>
      </c>
      <c r="V45" s="49">
        <v>31</v>
      </c>
      <c r="W45" s="49">
        <v>45</v>
      </c>
      <c r="X45" s="49">
        <v>25</v>
      </c>
      <c r="Y45" s="49">
        <v>30</v>
      </c>
      <c r="Z45" s="49">
        <v>41</v>
      </c>
      <c r="AA45" s="49">
        <v>38</v>
      </c>
      <c r="AB45" s="49">
        <v>25</v>
      </c>
      <c r="AC45" s="49">
        <v>49</v>
      </c>
      <c r="AD45" s="49">
        <v>0</v>
      </c>
      <c r="AE45" s="49">
        <v>29</v>
      </c>
      <c r="AF45" s="49">
        <v>50</v>
      </c>
      <c r="AG45" s="5"/>
      <c r="AH45" s="51"/>
      <c r="AI45" s="42"/>
      <c r="AJ45" s="52" t="str">
        <f t="shared" si="0"/>
        <v>F</v>
      </c>
      <c r="AK45" s="52" t="str">
        <f t="shared" si="1"/>
        <v>F</v>
      </c>
    </row>
    <row r="46" spans="14:37" ht="23.25" x14ac:dyDescent="0.65">
      <c r="N46" s="45">
        <v>44</v>
      </c>
      <c r="O46" s="44" t="s">
        <v>138</v>
      </c>
      <c r="P46" s="49" t="s">
        <v>100</v>
      </c>
      <c r="Q46" s="44" t="s">
        <v>94</v>
      </c>
      <c r="R46" s="49">
        <v>31</v>
      </c>
      <c r="S46" s="49">
        <v>64</v>
      </c>
      <c r="T46" s="49">
        <v>60</v>
      </c>
      <c r="U46" s="49">
        <v>66</v>
      </c>
      <c r="V46" s="49">
        <v>38</v>
      </c>
      <c r="W46" s="49">
        <v>45</v>
      </c>
      <c r="X46" s="49">
        <v>36</v>
      </c>
      <c r="Y46" s="49">
        <v>45</v>
      </c>
      <c r="Z46" s="49">
        <v>40</v>
      </c>
      <c r="AA46" s="49">
        <v>38</v>
      </c>
      <c r="AB46" s="49">
        <v>25</v>
      </c>
      <c r="AC46" s="49">
        <v>49</v>
      </c>
      <c r="AD46" s="49">
        <v>43</v>
      </c>
      <c r="AE46" s="49">
        <v>25</v>
      </c>
      <c r="AF46" s="49">
        <v>30</v>
      </c>
      <c r="AG46" s="5"/>
      <c r="AH46" s="51"/>
      <c r="AI46" s="42"/>
      <c r="AJ46" s="52" t="str">
        <f t="shared" si="0"/>
        <v>F</v>
      </c>
      <c r="AK46" s="52" t="str">
        <f t="shared" si="1"/>
        <v>F</v>
      </c>
    </row>
    <row r="47" spans="14:37" ht="23.25" x14ac:dyDescent="0.65">
      <c r="N47" s="45">
        <v>45</v>
      </c>
      <c r="O47" s="44" t="s">
        <v>139</v>
      </c>
      <c r="P47" s="49" t="s">
        <v>93</v>
      </c>
      <c r="Q47" s="44" t="s">
        <v>94</v>
      </c>
      <c r="R47" s="49">
        <v>33</v>
      </c>
      <c r="S47" s="49">
        <v>86</v>
      </c>
      <c r="T47" s="49">
        <v>38</v>
      </c>
      <c r="U47" s="49">
        <v>55</v>
      </c>
      <c r="V47" s="49">
        <v>38</v>
      </c>
      <c r="W47" s="49">
        <v>45</v>
      </c>
      <c r="X47" s="49">
        <v>25</v>
      </c>
      <c r="Y47" s="49">
        <v>47</v>
      </c>
      <c r="Z47" s="49">
        <v>40</v>
      </c>
      <c r="AA47" s="49">
        <v>12</v>
      </c>
      <c r="AB47" s="49">
        <v>25</v>
      </c>
      <c r="AC47" s="49">
        <v>49</v>
      </c>
      <c r="AD47" s="49">
        <v>39</v>
      </c>
      <c r="AE47" s="49">
        <v>41</v>
      </c>
      <c r="AF47" s="49">
        <v>50</v>
      </c>
      <c r="AG47" s="5"/>
      <c r="AH47" s="51"/>
      <c r="AI47" s="42"/>
      <c r="AJ47" s="52" t="str">
        <f t="shared" si="0"/>
        <v>F</v>
      </c>
      <c r="AK47" s="52" t="str">
        <f t="shared" si="1"/>
        <v>F</v>
      </c>
    </row>
    <row r="48" spans="14:37" ht="23.25" x14ac:dyDescent="0.65">
      <c r="N48" s="45">
        <v>46</v>
      </c>
      <c r="O48" s="44" t="s">
        <v>140</v>
      </c>
      <c r="P48" s="49" t="s">
        <v>93</v>
      </c>
      <c r="Q48" s="44" t="s">
        <v>94</v>
      </c>
      <c r="R48" s="49">
        <v>38</v>
      </c>
      <c r="S48" s="49">
        <v>105</v>
      </c>
      <c r="T48" s="49">
        <v>73</v>
      </c>
      <c r="U48" s="49">
        <v>73</v>
      </c>
      <c r="V48" s="49">
        <v>61</v>
      </c>
      <c r="W48" s="49">
        <v>50</v>
      </c>
      <c r="X48" s="49">
        <v>26</v>
      </c>
      <c r="Y48" s="49">
        <v>37</v>
      </c>
      <c r="Z48" s="49">
        <v>43</v>
      </c>
      <c r="AA48" s="49">
        <v>21</v>
      </c>
      <c r="AB48" s="49">
        <v>25</v>
      </c>
      <c r="AC48" s="49">
        <v>49</v>
      </c>
      <c r="AD48" s="49">
        <v>38</v>
      </c>
      <c r="AE48" s="49">
        <v>30</v>
      </c>
      <c r="AF48" s="49">
        <v>30</v>
      </c>
      <c r="AG48" s="5"/>
      <c r="AH48" s="51"/>
      <c r="AI48" s="42"/>
      <c r="AJ48" s="52" t="str">
        <f t="shared" si="0"/>
        <v>F</v>
      </c>
      <c r="AK48" s="52" t="str">
        <f t="shared" si="1"/>
        <v>F</v>
      </c>
    </row>
    <row r="49" spans="14:37" ht="23.25" x14ac:dyDescent="0.65">
      <c r="N49" s="45">
        <v>47</v>
      </c>
      <c r="O49" s="44" t="s">
        <v>141</v>
      </c>
      <c r="P49" s="49" t="s">
        <v>93</v>
      </c>
      <c r="Q49" s="44" t="s">
        <v>94</v>
      </c>
      <c r="R49" s="49">
        <v>32</v>
      </c>
      <c r="S49" s="49">
        <v>55</v>
      </c>
      <c r="T49" s="49">
        <v>38</v>
      </c>
      <c r="U49" s="49">
        <v>60</v>
      </c>
      <c r="V49" s="49">
        <v>38</v>
      </c>
      <c r="W49" s="49">
        <v>45</v>
      </c>
      <c r="X49" s="49">
        <v>25</v>
      </c>
      <c r="Y49" s="49">
        <v>25</v>
      </c>
      <c r="Z49" s="49">
        <v>43</v>
      </c>
      <c r="AA49" s="49">
        <v>15</v>
      </c>
      <c r="AB49" s="49">
        <v>25</v>
      </c>
      <c r="AC49" s="49">
        <v>49</v>
      </c>
      <c r="AD49" s="49">
        <v>30</v>
      </c>
      <c r="AE49" s="49">
        <v>25</v>
      </c>
      <c r="AF49" s="49">
        <v>50</v>
      </c>
      <c r="AG49" s="5"/>
      <c r="AH49" s="51"/>
      <c r="AI49" s="42"/>
      <c r="AJ49" s="52" t="str">
        <f t="shared" si="0"/>
        <v>F</v>
      </c>
      <c r="AK49" s="52" t="str">
        <f t="shared" si="1"/>
        <v>F</v>
      </c>
    </row>
    <row r="50" spans="14:37" ht="23.25" x14ac:dyDescent="0.65">
      <c r="N50" s="45">
        <v>48</v>
      </c>
      <c r="O50" s="44" t="s">
        <v>142</v>
      </c>
      <c r="P50" s="49" t="s">
        <v>100</v>
      </c>
      <c r="Q50" s="44" t="s">
        <v>94</v>
      </c>
      <c r="R50" s="49">
        <v>40</v>
      </c>
      <c r="S50" s="49">
        <v>59</v>
      </c>
      <c r="T50" s="49">
        <v>75</v>
      </c>
      <c r="U50" s="49">
        <v>75</v>
      </c>
      <c r="V50" s="49">
        <v>74</v>
      </c>
      <c r="W50" s="49">
        <v>50</v>
      </c>
      <c r="X50" s="49">
        <v>40</v>
      </c>
      <c r="Y50" s="49">
        <v>38</v>
      </c>
      <c r="Z50" s="49">
        <v>41</v>
      </c>
      <c r="AA50" s="49">
        <v>49</v>
      </c>
      <c r="AB50" s="49">
        <v>25</v>
      </c>
      <c r="AC50" s="49">
        <v>49</v>
      </c>
      <c r="AD50" s="49">
        <v>41</v>
      </c>
      <c r="AE50" s="49">
        <v>29</v>
      </c>
      <c r="AF50" s="49">
        <v>50</v>
      </c>
      <c r="AG50" s="5"/>
      <c r="AH50" s="51"/>
      <c r="AI50" s="42"/>
      <c r="AJ50" s="52" t="str">
        <f t="shared" si="0"/>
        <v>F</v>
      </c>
      <c r="AK50" s="52" t="str">
        <f t="shared" si="1"/>
        <v>F</v>
      </c>
    </row>
    <row r="51" spans="14:37" ht="23.25" x14ac:dyDescent="0.65">
      <c r="N51" s="45">
        <v>49</v>
      </c>
      <c r="O51" s="44" t="s">
        <v>143</v>
      </c>
      <c r="P51" s="49" t="s">
        <v>93</v>
      </c>
      <c r="Q51" s="44" t="s">
        <v>94</v>
      </c>
      <c r="R51" s="49">
        <v>44</v>
      </c>
      <c r="S51" s="49">
        <v>85</v>
      </c>
      <c r="T51" s="49">
        <v>55</v>
      </c>
      <c r="U51" s="49">
        <v>73</v>
      </c>
      <c r="V51" s="49">
        <v>61</v>
      </c>
      <c r="W51" s="49">
        <v>50</v>
      </c>
      <c r="X51" s="49">
        <v>50</v>
      </c>
      <c r="Y51" s="49">
        <v>45</v>
      </c>
      <c r="Z51" s="49">
        <v>45</v>
      </c>
      <c r="AA51" s="49">
        <v>45</v>
      </c>
      <c r="AB51" s="49">
        <v>25</v>
      </c>
      <c r="AC51" s="49">
        <v>49</v>
      </c>
      <c r="AD51" s="49">
        <v>39</v>
      </c>
      <c r="AE51" s="49">
        <v>30</v>
      </c>
      <c r="AF51" s="49">
        <v>50</v>
      </c>
      <c r="AG51" s="5"/>
      <c r="AH51" s="51"/>
      <c r="AI51" s="42"/>
      <c r="AJ51" s="52" t="str">
        <f t="shared" si="0"/>
        <v>F</v>
      </c>
      <c r="AK51" s="52" t="str">
        <f t="shared" si="1"/>
        <v>F</v>
      </c>
    </row>
    <row r="52" spans="14:37" ht="23.25" x14ac:dyDescent="0.65">
      <c r="N52" s="45">
        <v>50</v>
      </c>
      <c r="O52" s="44" t="s">
        <v>144</v>
      </c>
      <c r="P52" s="49" t="s">
        <v>93</v>
      </c>
      <c r="Q52" s="44" t="s">
        <v>94</v>
      </c>
      <c r="R52" s="49">
        <v>45</v>
      </c>
      <c r="S52" s="49">
        <v>0</v>
      </c>
      <c r="T52" s="49">
        <v>65</v>
      </c>
      <c r="U52" s="49">
        <v>75</v>
      </c>
      <c r="V52" s="49">
        <v>70</v>
      </c>
      <c r="W52" s="49">
        <v>45</v>
      </c>
      <c r="X52" s="49">
        <v>48</v>
      </c>
      <c r="Y52" s="49">
        <v>48</v>
      </c>
      <c r="Z52" s="49">
        <v>45</v>
      </c>
      <c r="AA52" s="49">
        <v>39</v>
      </c>
      <c r="AB52" s="49">
        <v>25</v>
      </c>
      <c r="AC52" s="49">
        <v>49</v>
      </c>
      <c r="AD52" s="49">
        <v>36</v>
      </c>
      <c r="AE52" s="49">
        <v>50</v>
      </c>
      <c r="AF52" s="49">
        <v>50</v>
      </c>
      <c r="AG52" s="5"/>
      <c r="AH52" s="51"/>
      <c r="AI52" s="42"/>
      <c r="AJ52" s="52" t="str">
        <f t="shared" si="0"/>
        <v>F</v>
      </c>
      <c r="AK52" s="52" t="str">
        <f t="shared" si="1"/>
        <v>F</v>
      </c>
    </row>
    <row r="53" spans="14:37" ht="23.25" x14ac:dyDescent="0.65">
      <c r="N53" s="45">
        <v>51</v>
      </c>
      <c r="O53" s="44" t="s">
        <v>145</v>
      </c>
      <c r="P53" s="49" t="s">
        <v>100</v>
      </c>
      <c r="Q53" s="44" t="s">
        <v>94</v>
      </c>
      <c r="R53" s="49">
        <v>38</v>
      </c>
      <c r="S53" s="49">
        <v>45</v>
      </c>
      <c r="T53" s="49">
        <v>38</v>
      </c>
      <c r="U53" s="49">
        <v>69</v>
      </c>
      <c r="V53" s="49">
        <v>46</v>
      </c>
      <c r="W53" s="49">
        <v>45</v>
      </c>
      <c r="X53" s="49">
        <v>25</v>
      </c>
      <c r="Y53" s="49">
        <v>36</v>
      </c>
      <c r="Z53" s="49">
        <v>48</v>
      </c>
      <c r="AA53" s="49">
        <v>46</v>
      </c>
      <c r="AB53" s="49">
        <v>25</v>
      </c>
      <c r="AC53" s="49">
        <v>49</v>
      </c>
      <c r="AD53" s="49">
        <v>39</v>
      </c>
      <c r="AE53" s="49">
        <v>31</v>
      </c>
      <c r="AF53" s="49">
        <v>50</v>
      </c>
      <c r="AG53" s="5"/>
      <c r="AH53" s="51"/>
      <c r="AI53" s="42"/>
      <c r="AJ53" s="52" t="str">
        <f t="shared" si="0"/>
        <v>F</v>
      </c>
      <c r="AK53" s="52" t="str">
        <f t="shared" si="1"/>
        <v>F</v>
      </c>
    </row>
    <row r="54" spans="14:37" ht="23.25" x14ac:dyDescent="0.65">
      <c r="N54" s="45">
        <v>52</v>
      </c>
      <c r="O54" s="44" t="s">
        <v>146</v>
      </c>
      <c r="P54" s="49" t="s">
        <v>93</v>
      </c>
      <c r="Q54" s="44" t="s">
        <v>94</v>
      </c>
      <c r="R54" s="49">
        <v>49</v>
      </c>
      <c r="S54" s="49">
        <v>82</v>
      </c>
      <c r="T54" s="49">
        <v>72</v>
      </c>
      <c r="U54" s="49">
        <v>66</v>
      </c>
      <c r="V54" s="49">
        <v>61</v>
      </c>
      <c r="W54" s="49">
        <v>45</v>
      </c>
      <c r="X54" s="49">
        <v>50</v>
      </c>
      <c r="Y54" s="49">
        <v>49</v>
      </c>
      <c r="Z54" s="49">
        <v>46</v>
      </c>
      <c r="AA54" s="49">
        <v>45</v>
      </c>
      <c r="AB54" s="49">
        <v>25</v>
      </c>
      <c r="AC54" s="49">
        <v>49</v>
      </c>
      <c r="AD54" s="49">
        <v>40</v>
      </c>
      <c r="AE54" s="49">
        <v>35</v>
      </c>
      <c r="AF54" s="49">
        <v>30</v>
      </c>
      <c r="AG54" s="5"/>
      <c r="AH54" s="51"/>
      <c r="AI54" s="42"/>
      <c r="AJ54" s="52" t="str">
        <f t="shared" si="0"/>
        <v>F</v>
      </c>
      <c r="AK54" s="52" t="str">
        <f t="shared" si="1"/>
        <v>F</v>
      </c>
    </row>
    <row r="55" spans="14:37" ht="23.25" x14ac:dyDescent="0.65">
      <c r="N55" s="45">
        <v>53</v>
      </c>
      <c r="O55" s="44" t="s">
        <v>147</v>
      </c>
      <c r="P55" s="49" t="s">
        <v>100</v>
      </c>
      <c r="Q55" s="44" t="s">
        <v>94</v>
      </c>
      <c r="R55" s="49">
        <v>30</v>
      </c>
      <c r="S55" s="49">
        <v>0</v>
      </c>
      <c r="T55" s="49">
        <v>38</v>
      </c>
      <c r="U55" s="49">
        <v>38</v>
      </c>
      <c r="V55" s="49">
        <v>0</v>
      </c>
      <c r="W55" s="49">
        <v>50</v>
      </c>
      <c r="X55" s="49">
        <v>13</v>
      </c>
      <c r="Y55" s="49">
        <v>0</v>
      </c>
      <c r="Z55" s="49">
        <v>42</v>
      </c>
      <c r="AA55" s="49">
        <v>0</v>
      </c>
      <c r="AB55" s="49">
        <v>20</v>
      </c>
      <c r="AC55" s="49">
        <v>49</v>
      </c>
      <c r="AD55" s="49">
        <v>33</v>
      </c>
      <c r="AE55" s="49">
        <v>25</v>
      </c>
      <c r="AF55" s="49">
        <v>50</v>
      </c>
      <c r="AG55" s="5"/>
      <c r="AH55" s="51"/>
      <c r="AI55" s="42"/>
      <c r="AJ55" s="52" t="str">
        <f t="shared" si="0"/>
        <v>F</v>
      </c>
      <c r="AK55" s="52" t="str">
        <f t="shared" si="1"/>
        <v>F</v>
      </c>
    </row>
    <row r="56" spans="14:37" ht="23.25" x14ac:dyDescent="0.65">
      <c r="N56" s="45">
        <v>54</v>
      </c>
      <c r="O56" s="44" t="s">
        <v>148</v>
      </c>
      <c r="P56" s="49" t="s">
        <v>93</v>
      </c>
      <c r="Q56" s="44" t="s">
        <v>94</v>
      </c>
      <c r="R56" s="49">
        <v>38</v>
      </c>
      <c r="S56" s="49">
        <v>45</v>
      </c>
      <c r="T56" s="49">
        <v>38</v>
      </c>
      <c r="U56" s="49">
        <v>45</v>
      </c>
      <c r="V56" s="49">
        <v>40</v>
      </c>
      <c r="W56" s="49">
        <v>50</v>
      </c>
      <c r="X56" s="49">
        <v>25</v>
      </c>
      <c r="Y56" s="49">
        <v>47</v>
      </c>
      <c r="Z56" s="49">
        <v>40</v>
      </c>
      <c r="AA56" s="49">
        <v>32</v>
      </c>
      <c r="AB56" s="49">
        <v>25</v>
      </c>
      <c r="AC56" s="49">
        <v>49</v>
      </c>
      <c r="AD56" s="49">
        <v>43</v>
      </c>
      <c r="AE56" s="49">
        <v>25</v>
      </c>
      <c r="AF56" s="49">
        <v>50</v>
      </c>
      <c r="AG56" s="5"/>
      <c r="AH56" s="51"/>
      <c r="AI56" s="42"/>
      <c r="AJ56" s="52" t="str">
        <f t="shared" si="0"/>
        <v>F</v>
      </c>
      <c r="AK56" s="52" t="str">
        <f t="shared" si="1"/>
        <v>F</v>
      </c>
    </row>
    <row r="57" spans="14:37" ht="23.25" x14ac:dyDescent="0.65">
      <c r="N57" s="45">
        <v>55</v>
      </c>
      <c r="O57" s="44" t="s">
        <v>149</v>
      </c>
      <c r="P57" s="49" t="s">
        <v>93</v>
      </c>
      <c r="Q57" s="44" t="s">
        <v>94</v>
      </c>
      <c r="R57" s="49">
        <v>48</v>
      </c>
      <c r="S57" s="49">
        <v>15</v>
      </c>
      <c r="T57" s="49">
        <v>72</v>
      </c>
      <c r="U57" s="49">
        <v>58</v>
      </c>
      <c r="V57" s="49">
        <v>55</v>
      </c>
      <c r="W57" s="49">
        <v>50</v>
      </c>
      <c r="X57" s="49">
        <v>45</v>
      </c>
      <c r="Y57" s="49">
        <v>38</v>
      </c>
      <c r="Z57" s="49">
        <v>46</v>
      </c>
      <c r="AA57" s="49">
        <v>31</v>
      </c>
      <c r="AB57" s="49">
        <v>25</v>
      </c>
      <c r="AC57" s="49">
        <v>49</v>
      </c>
      <c r="AD57" s="49">
        <v>36</v>
      </c>
      <c r="AE57" s="49">
        <v>25</v>
      </c>
      <c r="AF57" s="49">
        <v>50</v>
      </c>
      <c r="AG57" s="5"/>
      <c r="AH57" s="51"/>
      <c r="AI57" s="42"/>
      <c r="AJ57" s="52" t="str">
        <f t="shared" si="0"/>
        <v>F</v>
      </c>
      <c r="AK57" s="52" t="str">
        <f t="shared" si="1"/>
        <v>F</v>
      </c>
    </row>
    <row r="58" spans="14:37" ht="23.25" x14ac:dyDescent="0.65">
      <c r="N58" s="45">
        <v>56</v>
      </c>
      <c r="O58" s="44" t="s">
        <v>150</v>
      </c>
      <c r="P58" s="49" t="s">
        <v>93</v>
      </c>
      <c r="Q58" s="44" t="s">
        <v>94</v>
      </c>
      <c r="R58" s="49">
        <v>41</v>
      </c>
      <c r="S58" s="49">
        <v>71</v>
      </c>
      <c r="T58" s="49">
        <v>73</v>
      </c>
      <c r="U58" s="49">
        <v>71</v>
      </c>
      <c r="V58" s="49">
        <v>49</v>
      </c>
      <c r="W58" s="49">
        <v>50</v>
      </c>
      <c r="X58" s="49">
        <v>25</v>
      </c>
      <c r="Y58" s="49">
        <v>43</v>
      </c>
      <c r="Z58" s="49">
        <v>43</v>
      </c>
      <c r="AA58" s="49">
        <v>24</v>
      </c>
      <c r="AB58" s="49">
        <v>25</v>
      </c>
      <c r="AC58" s="49">
        <v>25</v>
      </c>
      <c r="AD58" s="49">
        <v>42</v>
      </c>
      <c r="AE58" s="49">
        <v>30</v>
      </c>
      <c r="AF58" s="49">
        <v>50</v>
      </c>
      <c r="AG58" s="5"/>
      <c r="AH58" s="51"/>
      <c r="AI58" s="42"/>
      <c r="AJ58" s="52" t="str">
        <f t="shared" si="0"/>
        <v>F</v>
      </c>
      <c r="AK58" s="52" t="str">
        <f t="shared" si="1"/>
        <v>F</v>
      </c>
    </row>
    <row r="59" spans="14:37" ht="46.5" x14ac:dyDescent="0.65">
      <c r="N59" s="45">
        <v>57</v>
      </c>
      <c r="O59" s="47" t="s">
        <v>151</v>
      </c>
      <c r="P59" s="49" t="s">
        <v>93</v>
      </c>
      <c r="Q59" s="44" t="s">
        <v>94</v>
      </c>
      <c r="R59" s="49">
        <v>34</v>
      </c>
      <c r="S59" s="49">
        <v>0</v>
      </c>
      <c r="T59" s="49">
        <v>0</v>
      </c>
      <c r="U59" s="49">
        <v>0</v>
      </c>
      <c r="V59" s="49">
        <v>18</v>
      </c>
      <c r="W59" s="49">
        <v>45</v>
      </c>
      <c r="X59" s="49">
        <v>30</v>
      </c>
      <c r="Y59" s="49">
        <v>0</v>
      </c>
      <c r="Z59" s="49">
        <v>0</v>
      </c>
      <c r="AA59" s="49">
        <v>34</v>
      </c>
      <c r="AB59" s="49">
        <v>0</v>
      </c>
      <c r="AC59" s="49">
        <v>0</v>
      </c>
      <c r="AD59" s="49">
        <v>0</v>
      </c>
      <c r="AE59" s="49">
        <v>26</v>
      </c>
      <c r="AF59" s="49">
        <v>30</v>
      </c>
      <c r="AG59" s="5"/>
      <c r="AH59" s="51"/>
      <c r="AI59" s="42"/>
      <c r="AJ59" s="52" t="str">
        <f t="shared" si="0"/>
        <v>F</v>
      </c>
      <c r="AK59" s="52" t="str">
        <f t="shared" si="1"/>
        <v>F</v>
      </c>
    </row>
  </sheetData>
  <mergeCells count="5">
    <mergeCell ref="B20:F20"/>
    <mergeCell ref="H20:H23"/>
    <mergeCell ref="B8:E8"/>
    <mergeCell ref="I19:J19"/>
    <mergeCell ref="K19:L19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1948-650C-4634-A4AF-1BA25E52DC22}">
  <dimension ref="C2:K62"/>
  <sheetViews>
    <sheetView topLeftCell="A43" zoomScale="92" workbookViewId="0">
      <selection activeCell="G42" sqref="G1:G1048576"/>
    </sheetView>
  </sheetViews>
  <sheetFormatPr defaultColWidth="8.85546875" defaultRowHeight="15" x14ac:dyDescent="0.25"/>
  <cols>
    <col min="1" max="2" width="8.85546875" style="9"/>
    <col min="3" max="3" width="9.5703125" style="9" customWidth="1"/>
    <col min="4" max="4" width="20" style="9" customWidth="1"/>
    <col min="5" max="5" width="13.5703125" style="9" customWidth="1"/>
    <col min="6" max="6" width="42.85546875" style="9" customWidth="1"/>
    <col min="7" max="7" width="46.140625" style="9" customWidth="1"/>
    <col min="8" max="8" width="13.5703125" style="9" customWidth="1"/>
    <col min="9" max="11" width="17.85546875" style="9" customWidth="1"/>
    <col min="12" max="16384" width="8.85546875" style="9"/>
  </cols>
  <sheetData>
    <row r="2" spans="3:9" ht="21.6" customHeight="1" x14ac:dyDescent="0.25">
      <c r="C2" s="8" t="s">
        <v>0</v>
      </c>
      <c r="D2" s="8" t="s">
        <v>1</v>
      </c>
      <c r="E2" s="14" t="s">
        <v>23</v>
      </c>
      <c r="F2" s="14" t="s">
        <v>24</v>
      </c>
      <c r="G2" s="7" t="s">
        <v>3</v>
      </c>
    </row>
    <row r="3" spans="3:9" ht="21.6" customHeight="1" x14ac:dyDescent="0.25">
      <c r="C3" s="3">
        <v>1</v>
      </c>
      <c r="D3" s="12" t="s">
        <v>4</v>
      </c>
      <c r="E3" s="3">
        <v>50</v>
      </c>
      <c r="F3" s="15">
        <v>75</v>
      </c>
      <c r="G3" s="11"/>
    </row>
    <row r="4" spans="3:9" ht="21.6" customHeight="1" x14ac:dyDescent="0.25">
      <c r="C4" s="3">
        <v>2</v>
      </c>
      <c r="D4" s="12" t="s">
        <v>5</v>
      </c>
      <c r="E4" s="3">
        <v>60</v>
      </c>
      <c r="F4" s="15">
        <v>40</v>
      </c>
      <c r="G4" s="11"/>
    </row>
    <row r="5" spans="3:9" ht="21.6" customHeight="1" x14ac:dyDescent="0.25">
      <c r="C5" s="3">
        <v>3</v>
      </c>
      <c r="D5" s="12" t="s">
        <v>6</v>
      </c>
      <c r="E5" s="3">
        <v>45</v>
      </c>
      <c r="F5" s="15">
        <v>35</v>
      </c>
      <c r="G5" s="11"/>
    </row>
    <row r="6" spans="3:9" ht="21.6" customHeight="1" x14ac:dyDescent="0.25">
      <c r="C6" s="3">
        <v>4</v>
      </c>
      <c r="D6" s="12" t="s">
        <v>7</v>
      </c>
      <c r="E6" s="3">
        <v>67</v>
      </c>
      <c r="F6" s="15">
        <v>76</v>
      </c>
      <c r="G6" s="11"/>
    </row>
    <row r="7" spans="3:9" ht="21.6" customHeight="1" x14ac:dyDescent="0.25">
      <c r="D7" s="9" t="s">
        <v>25</v>
      </c>
    </row>
    <row r="12" spans="3:9" ht="23.45" customHeight="1" x14ac:dyDescent="0.25">
      <c r="C12" s="8" t="s">
        <v>0</v>
      </c>
      <c r="D12" s="8" t="s">
        <v>1</v>
      </c>
      <c r="E12" s="8" t="s">
        <v>12</v>
      </c>
      <c r="F12" s="8" t="s">
        <v>13</v>
      </c>
      <c r="G12" s="8" t="s">
        <v>14</v>
      </c>
    </row>
    <row r="13" spans="3:9" ht="23.45" customHeight="1" x14ac:dyDescent="0.25">
      <c r="C13" s="3">
        <v>1</v>
      </c>
      <c r="D13" s="12" t="s">
        <v>4</v>
      </c>
      <c r="E13" s="13" t="s">
        <v>15</v>
      </c>
      <c r="F13" s="3" t="s">
        <v>17</v>
      </c>
      <c r="G13" s="11"/>
      <c r="I13" s="9">
        <f>IF(AND(E13="M",F13="Phnom Penh"),15,IF(AND(E13="F",F13="Phnom Penh"),20,0))</f>
        <v>0</v>
      </c>
    </row>
    <row r="14" spans="3:9" ht="23.45" customHeight="1" x14ac:dyDescent="0.25">
      <c r="C14" s="3">
        <v>2</v>
      </c>
      <c r="D14" s="12" t="s">
        <v>5</v>
      </c>
      <c r="E14" s="13" t="s">
        <v>16</v>
      </c>
      <c r="F14" s="3" t="s">
        <v>18</v>
      </c>
      <c r="G14" s="11"/>
    </row>
    <row r="15" spans="3:9" ht="23.45" customHeight="1" x14ac:dyDescent="0.25">
      <c r="C15" s="3">
        <v>3</v>
      </c>
      <c r="D15" s="12" t="s">
        <v>6</v>
      </c>
      <c r="E15" s="13" t="s">
        <v>15</v>
      </c>
      <c r="F15" s="3" t="s">
        <v>18</v>
      </c>
      <c r="G15" s="11"/>
    </row>
    <row r="16" spans="3:9" ht="23.45" customHeight="1" x14ac:dyDescent="0.25">
      <c r="C16" s="3">
        <v>4</v>
      </c>
      <c r="D16" s="12" t="s">
        <v>7</v>
      </c>
      <c r="E16" s="13" t="s">
        <v>16</v>
      </c>
      <c r="F16" s="3" t="s">
        <v>19</v>
      </c>
      <c r="G16" s="11"/>
    </row>
    <row r="18" spans="4:4" ht="21" customHeight="1" x14ac:dyDescent="0.25">
      <c r="D18" s="9" t="s">
        <v>20</v>
      </c>
    </row>
    <row r="19" spans="4:4" ht="21" customHeight="1" x14ac:dyDescent="0.25">
      <c r="D19" s="9" t="s">
        <v>21</v>
      </c>
    </row>
    <row r="20" spans="4:4" x14ac:dyDescent="0.25">
      <c r="D20" s="9" t="s">
        <v>57</v>
      </c>
    </row>
    <row r="50" spans="4:11" s="23" customFormat="1" ht="20.25" x14ac:dyDescent="0.3">
      <c r="D50" s="35" t="s">
        <v>169</v>
      </c>
      <c r="E50" s="35" t="s">
        <v>170</v>
      </c>
      <c r="F50" s="35" t="s">
        <v>3</v>
      </c>
      <c r="G50" s="55" t="s">
        <v>70</v>
      </c>
    </row>
    <row r="51" spans="4:11" s="23" customFormat="1" ht="20.25" x14ac:dyDescent="0.3">
      <c r="D51" s="56">
        <v>50</v>
      </c>
      <c r="E51" s="56">
        <v>70</v>
      </c>
      <c r="F51" s="56"/>
      <c r="G51" s="28"/>
    </row>
    <row r="52" spans="4:11" s="23" customFormat="1" ht="20.25" x14ac:dyDescent="0.3">
      <c r="D52" s="56">
        <v>60</v>
      </c>
      <c r="E52" s="56">
        <v>40</v>
      </c>
      <c r="F52" s="56"/>
      <c r="G52" s="28"/>
    </row>
    <row r="53" spans="4:11" s="23" customFormat="1" ht="20.25" x14ac:dyDescent="0.3">
      <c r="D53" s="56">
        <v>45</v>
      </c>
      <c r="E53" s="56">
        <v>50</v>
      </c>
      <c r="F53" s="56"/>
      <c r="G53" s="28"/>
    </row>
    <row r="54" spans="4:11" s="23" customFormat="1" ht="20.25" x14ac:dyDescent="0.3"/>
    <row r="55" spans="4:11" s="23" customFormat="1" ht="20.25" x14ac:dyDescent="0.3"/>
    <row r="56" spans="4:11" s="23" customFormat="1" ht="33" x14ac:dyDescent="0.9">
      <c r="D56" s="57" t="s">
        <v>171</v>
      </c>
      <c r="E56" s="57"/>
      <c r="F56" s="57"/>
    </row>
    <row r="57" spans="4:11" s="23" customFormat="1" ht="20.25" x14ac:dyDescent="0.3"/>
    <row r="58" spans="4:11" s="23" customFormat="1" ht="20.25" x14ac:dyDescent="0.3">
      <c r="D58" s="35" t="s">
        <v>169</v>
      </c>
      <c r="E58" s="35" t="s">
        <v>170</v>
      </c>
      <c r="F58" s="35" t="s">
        <v>3</v>
      </c>
      <c r="G58" s="55" t="s">
        <v>70</v>
      </c>
    </row>
    <row r="59" spans="4:11" s="23" customFormat="1" ht="20.25" x14ac:dyDescent="0.3">
      <c r="D59" s="56">
        <v>50</v>
      </c>
      <c r="E59" s="56">
        <v>70</v>
      </c>
      <c r="F59" s="56"/>
      <c r="G59" s="28"/>
      <c r="I59" s="23" t="s">
        <v>172</v>
      </c>
      <c r="J59" s="23" t="s">
        <v>173</v>
      </c>
      <c r="K59" s="23" t="s">
        <v>174</v>
      </c>
    </row>
    <row r="60" spans="4:11" s="23" customFormat="1" ht="20.25" x14ac:dyDescent="0.3">
      <c r="D60" s="56">
        <v>60</v>
      </c>
      <c r="E60" s="56">
        <v>40</v>
      </c>
      <c r="F60" s="56"/>
      <c r="G60" s="28"/>
    </row>
    <row r="61" spans="4:11" s="23" customFormat="1" ht="20.25" x14ac:dyDescent="0.3">
      <c r="D61" s="56">
        <v>45</v>
      </c>
      <c r="E61" s="56">
        <v>50</v>
      </c>
      <c r="F61" s="56"/>
      <c r="G61" s="28"/>
    </row>
    <row r="62" spans="4:11" s="23" customFormat="1" ht="20.25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8C53-BA17-4EB8-91A2-ABE225E823E3}">
  <dimension ref="E5:H28"/>
  <sheetViews>
    <sheetView topLeftCell="B17" zoomScale="104" zoomScaleNormal="160" workbookViewId="0">
      <selection activeCell="F22" sqref="F22:F24"/>
    </sheetView>
  </sheetViews>
  <sheetFormatPr defaultColWidth="8.85546875" defaultRowHeight="18.75" x14ac:dyDescent="0.3"/>
  <cols>
    <col min="1" max="4" width="8.85546875" style="16"/>
    <col min="5" max="5" width="21.140625" style="16" customWidth="1"/>
    <col min="6" max="6" width="29" style="16" customWidth="1"/>
    <col min="7" max="7" width="43.7109375" style="16" customWidth="1"/>
    <col min="8" max="8" width="28.7109375" style="16" customWidth="1"/>
    <col min="9" max="16384" width="8.85546875" style="16"/>
  </cols>
  <sheetData>
    <row r="5" spans="5:8" ht="27" customHeight="1" x14ac:dyDescent="0.3">
      <c r="E5" s="19" t="s">
        <v>26</v>
      </c>
      <c r="F5" s="19" t="s">
        <v>27</v>
      </c>
      <c r="G5" s="19" t="s">
        <v>28</v>
      </c>
      <c r="H5" s="19"/>
    </row>
    <row r="6" spans="5:8" x14ac:dyDescent="0.3">
      <c r="E6" s="18">
        <v>60</v>
      </c>
      <c r="F6" s="18">
        <v>70</v>
      </c>
      <c r="G6" s="17"/>
      <c r="H6" s="21"/>
    </row>
    <row r="7" spans="5:8" x14ac:dyDescent="0.3">
      <c r="E7" s="18">
        <v>60</v>
      </c>
      <c r="F7" s="18">
        <v>40</v>
      </c>
      <c r="G7" s="17"/>
      <c r="H7" s="21"/>
    </row>
    <row r="8" spans="5:8" x14ac:dyDescent="0.3">
      <c r="E8" s="18">
        <v>30</v>
      </c>
      <c r="F8" s="18">
        <v>20</v>
      </c>
      <c r="G8" s="17"/>
      <c r="H8" s="21"/>
    </row>
    <row r="9" spans="5:8" x14ac:dyDescent="0.3">
      <c r="E9" s="16" t="s">
        <v>29</v>
      </c>
    </row>
    <row r="10" spans="5:8" ht="26.25" customHeight="1" x14ac:dyDescent="0.3">
      <c r="E10" s="71" t="s">
        <v>168</v>
      </c>
      <c r="F10" s="71"/>
      <c r="G10" s="71"/>
    </row>
    <row r="11" spans="5:8" x14ac:dyDescent="0.3">
      <c r="E11" s="19" t="s">
        <v>26</v>
      </c>
      <c r="F11" s="19" t="s">
        <v>27</v>
      </c>
      <c r="G11" s="19" t="s">
        <v>30</v>
      </c>
      <c r="H11" s="19"/>
    </row>
    <row r="12" spans="5:8" x14ac:dyDescent="0.3">
      <c r="E12" s="18">
        <v>60</v>
      </c>
      <c r="F12" s="18">
        <v>70</v>
      </c>
      <c r="G12" s="18"/>
      <c r="H12" s="21"/>
    </row>
    <row r="13" spans="5:8" x14ac:dyDescent="0.3">
      <c r="E13" s="18">
        <v>60</v>
      </c>
      <c r="F13" s="18">
        <v>40</v>
      </c>
      <c r="G13" s="18"/>
      <c r="H13" s="21"/>
    </row>
    <row r="14" spans="5:8" x14ac:dyDescent="0.3">
      <c r="E14" s="18">
        <v>30</v>
      </c>
      <c r="F14" s="18">
        <v>20</v>
      </c>
      <c r="G14" s="18"/>
      <c r="H14" s="21"/>
    </row>
    <row r="15" spans="5:8" x14ac:dyDescent="0.3">
      <c r="E15" s="16" t="s">
        <v>175</v>
      </c>
    </row>
    <row r="21" spans="5:7" x14ac:dyDescent="0.3">
      <c r="E21" s="20" t="s">
        <v>31</v>
      </c>
      <c r="F21" s="20" t="s">
        <v>35</v>
      </c>
    </row>
    <row r="22" spans="5:7" x14ac:dyDescent="0.3">
      <c r="E22" s="21" t="s">
        <v>32</v>
      </c>
      <c r="F22" s="21"/>
      <c r="G22" s="54">
        <f>IF(OR(E22="BookI",E22="Headway",E22="NewpersonI"),60,IF(OR(E22="BookII",E22="HeadwayII",E22="NewpersonII"),90,IF(OR(E22="BookIII",E22="HeadwayIII",E22="NewpersonIII"),100,0)))</f>
        <v>60</v>
      </c>
    </row>
    <row r="23" spans="5:7" x14ac:dyDescent="0.3">
      <c r="E23" s="21" t="s">
        <v>33</v>
      </c>
      <c r="F23" s="21"/>
    </row>
    <row r="24" spans="5:7" x14ac:dyDescent="0.3">
      <c r="E24" s="21" t="s">
        <v>39</v>
      </c>
      <c r="F24" s="21"/>
    </row>
    <row r="26" spans="5:7" x14ac:dyDescent="0.3">
      <c r="E26" s="16" t="s">
        <v>36</v>
      </c>
    </row>
    <row r="27" spans="5:7" x14ac:dyDescent="0.3">
      <c r="E27" s="16" t="s">
        <v>37</v>
      </c>
    </row>
    <row r="28" spans="5:7" x14ac:dyDescent="0.3">
      <c r="E28" s="16" t="s">
        <v>38</v>
      </c>
    </row>
  </sheetData>
  <mergeCells count="1">
    <mergeCell ref="E10:G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AFDE-2DCE-4931-BBAB-C71E7EB696C7}">
  <dimension ref="D3:M20"/>
  <sheetViews>
    <sheetView topLeftCell="F13" zoomScale="129" workbookViewId="0">
      <selection activeCell="F15" sqref="F15"/>
    </sheetView>
  </sheetViews>
  <sheetFormatPr defaultColWidth="8.85546875" defaultRowHeight="20.25" x14ac:dyDescent="0.3"/>
  <cols>
    <col min="1" max="3" width="8.85546875" style="23"/>
    <col min="4" max="4" width="14.85546875" style="23" customWidth="1"/>
    <col min="5" max="5" width="27.7109375" style="23" customWidth="1"/>
    <col min="6" max="6" width="34.28515625" style="23" customWidth="1"/>
    <col min="7" max="7" width="8.85546875" style="23"/>
    <col min="8" max="8" width="4.140625" style="23" customWidth="1"/>
    <col min="9" max="9" width="24.85546875" style="23" customWidth="1"/>
    <col min="10" max="10" width="10.7109375" style="23" customWidth="1"/>
    <col min="11" max="11" width="13.5703125" style="23" customWidth="1"/>
    <col min="12" max="12" width="35.5703125" style="23" customWidth="1"/>
    <col min="13" max="16384" width="8.85546875" style="23"/>
  </cols>
  <sheetData>
    <row r="3" spans="4:13" x14ac:dyDescent="0.3">
      <c r="D3" s="27" t="s">
        <v>2</v>
      </c>
      <c r="E3" s="27" t="s">
        <v>40</v>
      </c>
      <c r="F3" s="27" t="s">
        <v>3</v>
      </c>
    </row>
    <row r="4" spans="4:13" x14ac:dyDescent="0.3">
      <c r="D4" s="24">
        <v>60</v>
      </c>
      <c r="E4" s="25" t="s">
        <v>41</v>
      </c>
      <c r="F4" s="26"/>
      <c r="I4" s="67"/>
    </row>
    <row r="5" spans="4:13" x14ac:dyDescent="0.3">
      <c r="D5" s="24">
        <v>40</v>
      </c>
      <c r="E5" s="25" t="s">
        <v>42</v>
      </c>
      <c r="F5" s="26"/>
      <c r="I5" s="25"/>
    </row>
    <row r="6" spans="4:13" x14ac:dyDescent="0.3">
      <c r="D6" s="28"/>
      <c r="E6" s="25" t="s">
        <v>43</v>
      </c>
      <c r="F6" s="28"/>
      <c r="I6" s="25"/>
    </row>
    <row r="7" spans="4:13" x14ac:dyDescent="0.3">
      <c r="D7" s="28"/>
      <c r="E7" s="25" t="s">
        <v>44</v>
      </c>
      <c r="F7" s="28"/>
      <c r="I7" s="25"/>
    </row>
    <row r="8" spans="4:13" x14ac:dyDescent="0.3">
      <c r="D8" s="23" t="s">
        <v>45</v>
      </c>
      <c r="I8" s="25"/>
    </row>
    <row r="9" spans="4:13" x14ac:dyDescent="0.3">
      <c r="D9" s="27" t="s">
        <v>2</v>
      </c>
      <c r="E9" s="27" t="s">
        <v>40</v>
      </c>
      <c r="F9" s="27" t="s">
        <v>3</v>
      </c>
    </row>
    <row r="10" spans="4:13" x14ac:dyDescent="0.3">
      <c r="D10" s="24">
        <v>60</v>
      </c>
      <c r="E10" s="25" t="s">
        <v>41</v>
      </c>
      <c r="F10" s="26"/>
    </row>
    <row r="11" spans="4:13" x14ac:dyDescent="0.3">
      <c r="D11" s="24">
        <v>40</v>
      </c>
      <c r="E11" s="25" t="s">
        <v>42</v>
      </c>
      <c r="F11" s="26"/>
    </row>
    <row r="14" spans="4:13" x14ac:dyDescent="0.3">
      <c r="H14" s="72" t="s">
        <v>168</v>
      </c>
      <c r="I14" s="72"/>
      <c r="J14" s="72"/>
      <c r="K14" s="72"/>
      <c r="L14" s="72"/>
    </row>
    <row r="15" spans="4:13" x14ac:dyDescent="0.3">
      <c r="H15" s="8" t="s">
        <v>0</v>
      </c>
      <c r="I15" s="8" t="s">
        <v>1</v>
      </c>
      <c r="J15" s="8" t="s">
        <v>12</v>
      </c>
      <c r="K15" s="8" t="s">
        <v>13</v>
      </c>
      <c r="L15" s="8" t="s">
        <v>14</v>
      </c>
    </row>
    <row r="16" spans="4:13" x14ac:dyDescent="0.3">
      <c r="H16" s="29">
        <v>1</v>
      </c>
      <c r="I16" s="30" t="s">
        <v>4</v>
      </c>
      <c r="J16" s="31" t="s">
        <v>15</v>
      </c>
      <c r="K16" s="32" t="s">
        <v>187</v>
      </c>
      <c r="L16" s="21"/>
      <c r="M16" s="53">
        <f>IF(NOT(K16&lt;&gt;"Phnom Penh"),0,20)</f>
        <v>20</v>
      </c>
    </row>
    <row r="17" spans="8:12" x14ac:dyDescent="0.3">
      <c r="H17" s="29">
        <v>2</v>
      </c>
      <c r="I17" s="30" t="s">
        <v>5</v>
      </c>
      <c r="J17" s="31" t="s">
        <v>16</v>
      </c>
      <c r="K17" s="32" t="s">
        <v>181</v>
      </c>
      <c r="L17" s="21"/>
    </row>
    <row r="18" spans="8:12" x14ac:dyDescent="0.3">
      <c r="H18" s="29">
        <v>3</v>
      </c>
      <c r="I18" s="30" t="s">
        <v>6</v>
      </c>
      <c r="J18" s="31" t="s">
        <v>15</v>
      </c>
      <c r="K18" s="32" t="s">
        <v>181</v>
      </c>
      <c r="L18" s="21"/>
    </row>
    <row r="19" spans="8:12" x14ac:dyDescent="0.3">
      <c r="H19" s="29">
        <v>4</v>
      </c>
      <c r="I19" s="30" t="s">
        <v>7</v>
      </c>
      <c r="J19" s="31" t="s">
        <v>16</v>
      </c>
      <c r="K19" s="32" t="s">
        <v>186</v>
      </c>
      <c r="L19" s="21"/>
    </row>
    <row r="20" spans="8:12" x14ac:dyDescent="0.3">
      <c r="I20" s="23" t="s">
        <v>46</v>
      </c>
    </row>
  </sheetData>
  <mergeCells count="1">
    <mergeCell ref="H14:L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73EE-B46D-40BD-A889-395E06A31159}">
  <dimension ref="A1:P41"/>
  <sheetViews>
    <sheetView topLeftCell="B22" zoomScale="96" workbookViewId="0">
      <selection activeCell="C2" sqref="C2:C5"/>
    </sheetView>
  </sheetViews>
  <sheetFormatPr defaultColWidth="8.85546875" defaultRowHeight="15" x14ac:dyDescent="0.25"/>
  <cols>
    <col min="1" max="2" width="13.140625" style="9" customWidth="1"/>
    <col min="3" max="3" width="36.5703125" style="9" customWidth="1"/>
    <col min="4" max="4" width="21.42578125" style="9" customWidth="1"/>
    <col min="5" max="5" width="25.42578125" style="9" customWidth="1"/>
    <col min="6" max="6" width="26.42578125" style="9" customWidth="1"/>
    <col min="7" max="7" width="23.42578125" style="9" customWidth="1"/>
    <col min="8" max="10" width="8.85546875" style="9"/>
    <col min="11" max="13" width="21.42578125" style="9" customWidth="1"/>
    <col min="14" max="16384" width="8.85546875" style="9"/>
  </cols>
  <sheetData>
    <row r="1" spans="1:16" ht="31.9" customHeight="1" x14ac:dyDescent="0.4">
      <c r="A1" s="38" t="s">
        <v>23</v>
      </c>
      <c r="B1" s="38" t="s">
        <v>55</v>
      </c>
      <c r="C1" s="38" t="s">
        <v>56</v>
      </c>
      <c r="D1" s="38" t="s">
        <v>3</v>
      </c>
      <c r="E1" s="16"/>
      <c r="F1" s="16"/>
      <c r="G1" s="16"/>
      <c r="H1" s="16"/>
      <c r="I1" s="58"/>
      <c r="J1" s="58"/>
      <c r="K1" s="59" t="s">
        <v>23</v>
      </c>
      <c r="L1" s="59" t="s">
        <v>176</v>
      </c>
      <c r="M1" s="59" t="s">
        <v>3</v>
      </c>
      <c r="N1" s="58"/>
    </row>
    <row r="2" spans="1:16" ht="27.75" x14ac:dyDescent="0.4">
      <c r="A2" s="29">
        <v>45</v>
      </c>
      <c r="B2" s="29">
        <v>20</v>
      </c>
      <c r="C2" s="32"/>
      <c r="D2" s="29"/>
      <c r="E2" s="54" t="str">
        <f>IF(AND(A2&gt;=50,OR(B2&gt;=50,B2&gt;=80)),"Pass","Fail")</f>
        <v>Fail</v>
      </c>
      <c r="F2" s="16"/>
      <c r="G2" s="16"/>
      <c r="H2" s="16"/>
      <c r="I2" s="58"/>
      <c r="J2" s="58"/>
      <c r="K2" s="60">
        <v>45</v>
      </c>
      <c r="L2" s="60">
        <v>20</v>
      </c>
      <c r="M2" s="61"/>
      <c r="N2" s="58"/>
    </row>
    <row r="3" spans="1:16" ht="27.75" x14ac:dyDescent="0.4">
      <c r="A3" s="29">
        <v>50</v>
      </c>
      <c r="B3" s="29">
        <v>50</v>
      </c>
      <c r="C3" s="32"/>
      <c r="D3" s="29"/>
      <c r="E3" s="16"/>
      <c r="F3" s="16"/>
      <c r="G3" s="16"/>
      <c r="H3" s="16"/>
      <c r="I3" s="58"/>
      <c r="J3" s="58"/>
      <c r="K3" s="60">
        <v>50</v>
      </c>
      <c r="L3" s="60">
        <v>50</v>
      </c>
      <c r="M3" s="61"/>
      <c r="N3" s="58"/>
    </row>
    <row r="4" spans="1:16" ht="27.75" x14ac:dyDescent="0.4">
      <c r="A4" s="29">
        <v>60</v>
      </c>
      <c r="B4" s="29">
        <v>60</v>
      </c>
      <c r="C4" s="32"/>
      <c r="D4" s="29"/>
      <c r="E4" s="22"/>
      <c r="F4" s="22"/>
      <c r="G4" s="22"/>
      <c r="H4" s="16"/>
      <c r="I4" s="58"/>
      <c r="J4" s="58"/>
      <c r="K4" s="60">
        <v>60</v>
      </c>
      <c r="L4" s="60">
        <v>60</v>
      </c>
      <c r="M4" s="61"/>
      <c r="N4" s="58"/>
    </row>
    <row r="5" spans="1:16" ht="27.75" x14ac:dyDescent="0.4">
      <c r="A5" s="29">
        <v>70</v>
      </c>
      <c r="B5" s="29">
        <v>78</v>
      </c>
      <c r="C5" s="32"/>
      <c r="D5" s="29"/>
      <c r="H5" s="16"/>
      <c r="I5" s="58"/>
      <c r="J5" s="58"/>
      <c r="K5" s="60">
        <v>70</v>
      </c>
      <c r="L5" s="60">
        <v>78</v>
      </c>
      <c r="M5" s="61"/>
      <c r="N5" s="58"/>
    </row>
    <row r="6" spans="1:16" ht="27.75" x14ac:dyDescent="0.4">
      <c r="A6" s="16"/>
      <c r="B6" s="16"/>
      <c r="C6" s="16"/>
      <c r="D6" s="16"/>
      <c r="E6" s="16"/>
      <c r="F6" s="16"/>
      <c r="G6" s="16"/>
      <c r="H6" s="16"/>
      <c r="I6" s="58"/>
      <c r="J6" s="58"/>
      <c r="K6" s="58"/>
      <c r="L6" s="58"/>
      <c r="M6" s="58"/>
      <c r="N6" s="58"/>
    </row>
    <row r="7" spans="1:16" ht="27.75" x14ac:dyDescent="0.4">
      <c r="A7" s="16"/>
      <c r="B7" s="16"/>
      <c r="C7" s="16"/>
      <c r="D7" s="16"/>
      <c r="E7" s="16"/>
      <c r="F7" s="16"/>
      <c r="G7" s="16"/>
      <c r="H7" s="16"/>
      <c r="I7" s="58"/>
      <c r="J7" s="23" t="s">
        <v>177</v>
      </c>
      <c r="K7" s="23"/>
      <c r="L7" s="23"/>
      <c r="M7" s="23"/>
      <c r="N7" s="23"/>
      <c r="O7" s="23"/>
      <c r="P7" s="23"/>
    </row>
    <row r="8" spans="1:16" ht="27.75" x14ac:dyDescent="0.4">
      <c r="A8" s="16"/>
      <c r="B8" s="16"/>
      <c r="C8" s="16"/>
      <c r="D8" s="16"/>
      <c r="E8" s="16"/>
      <c r="F8" s="16"/>
      <c r="G8" s="16"/>
      <c r="H8" s="16"/>
      <c r="I8" s="58"/>
      <c r="J8" s="23"/>
      <c r="K8" s="23" t="s">
        <v>178</v>
      </c>
      <c r="L8" s="23"/>
      <c r="M8" s="23"/>
      <c r="N8" s="23"/>
      <c r="O8" s="23"/>
      <c r="P8" s="23"/>
    </row>
    <row r="9" spans="1:16" ht="27.75" x14ac:dyDescent="0.4">
      <c r="A9" s="16"/>
      <c r="B9" s="16"/>
      <c r="C9" s="16"/>
      <c r="D9" s="16"/>
      <c r="E9" s="16"/>
      <c r="F9" s="16"/>
      <c r="G9" s="16"/>
      <c r="H9" s="16"/>
      <c r="I9" s="58"/>
      <c r="J9" s="23"/>
      <c r="K9" s="23" t="s">
        <v>179</v>
      </c>
      <c r="L9" s="23"/>
      <c r="M9" s="23"/>
      <c r="N9" s="23"/>
      <c r="O9" s="23"/>
      <c r="P9" s="23"/>
    </row>
    <row r="10" spans="1:16" ht="27.75" x14ac:dyDescent="0.4">
      <c r="A10" s="16"/>
      <c r="B10" s="16" t="str">
        <f>IF(AND(A2&gt;=50,OR(B2&gt;=50,A2&gt;=80)),"Pass","Fail")</f>
        <v>Fail</v>
      </c>
      <c r="C10" s="16"/>
      <c r="D10" s="16"/>
      <c r="E10" s="16"/>
      <c r="F10" s="16"/>
      <c r="G10" s="16"/>
      <c r="H10" s="16"/>
      <c r="I10" s="58"/>
      <c r="J10" s="23" t="s">
        <v>180</v>
      </c>
      <c r="K10" s="23"/>
      <c r="L10" s="23"/>
      <c r="M10" s="23"/>
      <c r="N10" s="23"/>
      <c r="O10" s="23"/>
      <c r="P10" s="23"/>
    </row>
    <row r="11" spans="1:16" ht="27.75" x14ac:dyDescent="0.4">
      <c r="A11" s="16"/>
      <c r="B11" s="16"/>
      <c r="C11" s="16"/>
      <c r="D11" s="16"/>
      <c r="E11" s="16"/>
      <c r="F11" s="16"/>
      <c r="G11" s="16"/>
      <c r="H11" s="16"/>
      <c r="I11" s="58"/>
      <c r="J11" s="23"/>
      <c r="K11" s="23"/>
      <c r="L11" s="23"/>
      <c r="M11" s="23"/>
      <c r="N11" s="23"/>
      <c r="O11" s="23"/>
      <c r="P11" s="23"/>
    </row>
    <row r="12" spans="1:16" ht="18.75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6" ht="18.75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6" ht="18.75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6" ht="18.75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6" ht="18.75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8.75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21" spans="1:11" ht="32.450000000000003" customHeight="1" x14ac:dyDescent="0.25">
      <c r="E21" s="35" t="s">
        <v>31</v>
      </c>
      <c r="F21" s="35" t="s">
        <v>47</v>
      </c>
      <c r="G21" s="35" t="s">
        <v>35</v>
      </c>
    </row>
    <row r="22" spans="1:11" ht="26.25" x14ac:dyDescent="0.4">
      <c r="E22" s="36" t="s">
        <v>32</v>
      </c>
      <c r="F22" s="37">
        <v>20</v>
      </c>
      <c r="G22" s="36"/>
    </row>
    <row r="23" spans="1:11" ht="26.25" x14ac:dyDescent="0.4">
      <c r="E23" s="36" t="s">
        <v>32</v>
      </c>
      <c r="F23" s="37">
        <v>35</v>
      </c>
      <c r="G23" s="36"/>
    </row>
    <row r="24" spans="1:11" ht="26.25" x14ac:dyDescent="0.4">
      <c r="E24" s="36" t="s">
        <v>34</v>
      </c>
      <c r="F24" s="37">
        <v>25</v>
      </c>
      <c r="G24" s="36"/>
    </row>
    <row r="25" spans="1:11" ht="26.25" x14ac:dyDescent="0.4">
      <c r="E25" s="36" t="s">
        <v>34</v>
      </c>
      <c r="F25" s="37">
        <v>36</v>
      </c>
      <c r="G25" s="36"/>
    </row>
    <row r="26" spans="1:11" ht="26.25" x14ac:dyDescent="0.4">
      <c r="E26" s="36" t="s">
        <v>33</v>
      </c>
      <c r="F26" s="37">
        <v>40</v>
      </c>
      <c r="G26" s="36"/>
    </row>
    <row r="27" spans="1:11" ht="26.25" x14ac:dyDescent="0.4">
      <c r="E27" s="36" t="s">
        <v>33</v>
      </c>
      <c r="F27" s="37">
        <v>25</v>
      </c>
      <c r="G27" s="36"/>
    </row>
    <row r="28" spans="1:11" ht="26.25" x14ac:dyDescent="0.4">
      <c r="E28" s="36" t="s">
        <v>48</v>
      </c>
      <c r="F28" s="37">
        <v>20</v>
      </c>
      <c r="G28" s="36"/>
    </row>
    <row r="29" spans="1:11" ht="26.25" x14ac:dyDescent="0.4">
      <c r="E29" s="36" t="s">
        <v>48</v>
      </c>
      <c r="F29" s="37">
        <v>35</v>
      </c>
      <c r="G29" s="36"/>
    </row>
    <row r="30" spans="1:11" ht="6.6" customHeight="1" x14ac:dyDescent="0.4">
      <c r="E30" s="33"/>
      <c r="F30" s="33"/>
      <c r="G30" s="33"/>
    </row>
    <row r="31" spans="1:11" ht="25.5" x14ac:dyDescent="0.7">
      <c r="A31" s="34"/>
      <c r="B31" s="34"/>
      <c r="C31" s="34"/>
      <c r="D31" s="34"/>
      <c r="E31" s="34" t="s">
        <v>49</v>
      </c>
      <c r="F31" s="34"/>
      <c r="G31" s="34"/>
      <c r="H31" s="34"/>
    </row>
    <row r="32" spans="1:11" ht="25.5" x14ac:dyDescent="0.7">
      <c r="A32" s="34"/>
      <c r="B32" s="34"/>
      <c r="C32" s="34"/>
      <c r="D32" s="34"/>
      <c r="E32" s="34" t="s">
        <v>50</v>
      </c>
      <c r="F32" s="34"/>
      <c r="G32" s="34"/>
      <c r="H32" s="34"/>
    </row>
    <row r="33" spans="1:8" ht="25.5" x14ac:dyDescent="0.7">
      <c r="A33" s="34"/>
      <c r="B33" s="34"/>
      <c r="C33" s="34"/>
      <c r="D33" s="34"/>
      <c r="E33" s="34" t="s">
        <v>51</v>
      </c>
      <c r="F33" s="34"/>
      <c r="G33" s="34"/>
      <c r="H33" s="34"/>
    </row>
    <row r="34" spans="1:8" ht="25.5" x14ac:dyDescent="0.7">
      <c r="A34" s="34"/>
      <c r="B34" s="34"/>
      <c r="C34" s="34"/>
      <c r="D34" s="34"/>
      <c r="E34" s="34" t="s">
        <v>52</v>
      </c>
      <c r="F34" s="34"/>
      <c r="G34" s="34"/>
      <c r="H34" s="34"/>
    </row>
    <row r="35" spans="1:8" ht="25.5" x14ac:dyDescent="0.7">
      <c r="A35" s="34"/>
      <c r="B35" s="34"/>
      <c r="C35" s="34"/>
      <c r="D35" s="34"/>
      <c r="E35" s="34" t="s">
        <v>53</v>
      </c>
      <c r="F35" s="34"/>
      <c r="G35" s="34"/>
      <c r="H35" s="34"/>
    </row>
    <row r="36" spans="1:8" ht="25.5" x14ac:dyDescent="0.7">
      <c r="A36" s="34"/>
      <c r="B36" s="34"/>
      <c r="C36" s="34"/>
      <c r="D36" s="34"/>
      <c r="E36" s="34" t="s">
        <v>54</v>
      </c>
      <c r="F36" s="34"/>
      <c r="G36" s="34"/>
      <c r="H36" s="34"/>
    </row>
    <row r="37" spans="1:8" ht="25.5" x14ac:dyDescent="0.7">
      <c r="A37" s="34"/>
      <c r="B37" s="34"/>
      <c r="C37" s="34"/>
      <c r="D37" s="34"/>
      <c r="E37" s="34"/>
      <c r="F37" s="34"/>
      <c r="G37" s="34"/>
      <c r="H37" s="34"/>
    </row>
    <row r="38" spans="1:8" ht="25.5" x14ac:dyDescent="0.7">
      <c r="A38" s="34"/>
      <c r="B38" s="34"/>
      <c r="C38" s="34"/>
      <c r="D38" s="34"/>
      <c r="E38" s="34"/>
      <c r="F38" s="34"/>
      <c r="G38" s="34"/>
      <c r="H38" s="34"/>
    </row>
    <row r="39" spans="1:8" ht="25.5" x14ac:dyDescent="0.7">
      <c r="A39" s="34"/>
      <c r="B39" s="34"/>
      <c r="C39" s="34"/>
      <c r="D39" s="34"/>
      <c r="E39" s="34"/>
      <c r="F39" s="34"/>
      <c r="G39" s="34"/>
      <c r="H39" s="34"/>
    </row>
    <row r="40" spans="1:8" ht="25.5" x14ac:dyDescent="0.7">
      <c r="A40" s="34"/>
      <c r="B40" s="34"/>
      <c r="C40" s="34"/>
      <c r="D40" s="34"/>
      <c r="E40" s="34"/>
      <c r="F40" s="34"/>
      <c r="G40" s="34"/>
      <c r="H40" s="34"/>
    </row>
    <row r="41" spans="1:8" ht="25.5" x14ac:dyDescent="0.7">
      <c r="A41" s="34"/>
      <c r="B41" s="34"/>
      <c r="C41" s="34"/>
      <c r="D41" s="34"/>
      <c r="E41" s="34"/>
      <c r="F41" s="34"/>
      <c r="G41" s="34"/>
      <c r="H41" s="3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IF</vt:lpstr>
      <vt:lpstr>AND</vt:lpstr>
      <vt:lpstr>OR</vt:lpstr>
      <vt:lpstr> NOT</vt:lpstr>
      <vt:lpstr>IFANDOR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 Veasna</dc:creator>
  <cp:lastModifiedBy>Man Veasna</cp:lastModifiedBy>
  <dcterms:created xsi:type="dcterms:W3CDTF">2026-05-19T23:36:07Z</dcterms:created>
  <dcterms:modified xsi:type="dcterms:W3CDTF">2026-06-05T23:50:00Z</dcterms:modified>
</cp:coreProperties>
</file>