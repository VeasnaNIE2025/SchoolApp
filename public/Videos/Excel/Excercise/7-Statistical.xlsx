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asn\OneDrive\Desktop\"/>
    </mc:Choice>
  </mc:AlternateContent>
  <xr:revisionPtr revIDLastSave="0" documentId="13_ncr:1_{E8F995F7-6620-41B1-AFEF-A43534B789AA}" xr6:coauthVersionLast="47" xr6:coauthVersionMax="47" xr10:uidLastSave="{00000000-0000-0000-0000-000000000000}"/>
  <bookViews>
    <workbookView xWindow="-120" yWindow="-120" windowWidth="19440" windowHeight="14880" firstSheet="1" activeTab="1" xr2:uid="{5EC47F97-94F5-438C-82ED-74C738620E16}"/>
  </bookViews>
  <sheets>
    <sheet name="Sheet1" sheetId="1" state="hidden" r:id="rId1"/>
    <sheet name="MIN" sheetId="2" r:id="rId2"/>
    <sheet name="MAX" sheetId="3" r:id="rId3"/>
    <sheet name="AVERAGE" sheetId="4" r:id="rId4"/>
    <sheet name="COUNT" sheetId="5" r:id="rId5"/>
    <sheet name="COUNTA" sheetId="6" r:id="rId6"/>
    <sheet name="COUNTIF" sheetId="7" r:id="rId7"/>
    <sheet name="COUNTIFS" sheetId="9" r:id="rId8"/>
  </sheets>
  <definedNames>
    <definedName name="_xlnm._FilterDatabase" localSheetId="7" hidden="1">COUNTIFS!$E$5:$I$30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7" l="1"/>
  <c r="J20" i="9"/>
  <c r="J16" i="9"/>
  <c r="J14" i="9"/>
  <c r="J14" i="7"/>
  <c r="J16" i="7"/>
  <c r="J14" i="6"/>
  <c r="J14" i="4"/>
  <c r="J14" i="2"/>
  <c r="J14" i="3"/>
  <c r="E6" i="9" a="1"/>
  <c r="E6" i="7" a="1"/>
  <c r="E6" i="6" a="1"/>
  <c r="E6" i="5" a="1"/>
  <c r="E6" i="4" a="1"/>
  <c r="H15" i="1"/>
  <c r="E6" i="3" a="1"/>
  <c r="E6" i="2" a="1"/>
  <c r="J18" i="9" l="1"/>
  <c r="J1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<sst xmlns="http://schemas.openxmlformats.org/spreadsheetml/2006/main" count="337" uniqueCount="60">
  <si>
    <t xml:space="preserve">    </t>
  </si>
  <si>
    <t>ប្រើប្រាស់សម្រាប់គណនារកតម្លៃអប្បបរមា(តូចបំផុត)</t>
  </si>
  <si>
    <t>ល.រ</t>
  </si>
  <si>
    <t>ភេទ</t>
  </si>
  <si>
    <t>តួនាទី</t>
  </si>
  <si>
    <t>ប្រាក់ខែ</t>
  </si>
  <si>
    <t>គោត្តនាម នាម</t>
  </si>
  <si>
    <t>ហេង ពិទូ</t>
  </si>
  <si>
    <t>សុខ ពិសី</t>
  </si>
  <si>
    <t>ចែម ច័ន្ទតារារ</t>
  </si>
  <si>
    <t>ឡាច ម៉េងហុង</t>
  </si>
  <si>
    <t>ឡុង នីសា</t>
  </si>
  <si>
    <t>​ម៉ា វិចិត្រ</t>
  </si>
  <si>
    <t>រិទ្ធ ចាន់ធី</t>
  </si>
  <si>
    <t>លី សីហា</t>
  </si>
  <si>
    <t>ប</t>
  </si>
  <si>
    <t>ស</t>
  </si>
  <si>
    <t>Manager</t>
  </si>
  <si>
    <t>Accountant</t>
  </si>
  <si>
    <t>Marketing</t>
  </si>
  <si>
    <t>Sale</t>
  </si>
  <si>
    <t>Security</t>
  </si>
  <si>
    <t>Cleaner</t>
  </si>
  <si>
    <t>ប្រាក់ខែបុគ្គលិកដែលតិចជាងគេ</t>
  </si>
  <si>
    <t>ប្រាក់ខែបុគ្គលិកដែលច្រើនជាងគេ</t>
  </si>
  <si>
    <t>ពិន្ទុ</t>
  </si>
  <si>
    <t>គណិត</t>
  </si>
  <si>
    <t>ខ្មែរ</t>
  </si>
  <si>
    <t>ភូមិ</t>
  </si>
  <si>
    <t>មុខវិជ្ជា</t>
  </si>
  <si>
    <t>គេហៈ</t>
  </si>
  <si>
    <t xml:space="preserve">រាប់ចំនួនមុខវិជ្ជា ភូមិ </t>
  </si>
  <si>
    <t>ដែលមានពិន្ទុ ធំជាងឬស្មើ 45</t>
  </si>
  <si>
    <t>ប្រាក់ខែបុគ្គលិកជាមធ្យមគឺ</t>
  </si>
  <si>
    <t>រូបមន្ដ៖</t>
  </si>
  <si>
    <t>រា​ប់ចំនួនបុគ្គលិកសរុប</t>
  </si>
  <si>
    <t>រាប់ចំនួនតួនាទីតើមានប៉ុន្មាន</t>
  </si>
  <si>
    <t>លាស់ សីហា</t>
  </si>
  <si>
    <t xml:space="preserve">តើមានតួនាទី Marketing ប៉ុន្មាននាក់ </t>
  </si>
  <si>
    <t>តើមានអ្នកមានប្រាក់ខែ 200$ ប៉ុន្មាននាក់</t>
  </si>
  <si>
    <t>សំ សំណាង</t>
  </si>
  <si>
    <t>កែ រក្សា</t>
  </si>
  <si>
    <t>លី អានីតា</t>
  </si>
  <si>
    <t>គង់ ធីតា</t>
  </si>
  <si>
    <t>កែវ រតនា</t>
  </si>
  <si>
    <t>ជូន ណរ</t>
  </si>
  <si>
    <t>ជី កៃ</t>
  </si>
  <si>
    <t>កូ មែម</t>
  </si>
  <si>
    <t>សម សាន្ដ</t>
  </si>
  <si>
    <t>សៀង ឧប្បុល</t>
  </si>
  <si>
    <t>សំ លីណា</t>
  </si>
  <si>
    <t>លូ លែង</t>
  </si>
  <si>
    <t>លី តាវហ៊ូ</t>
  </si>
  <si>
    <t>មែន រតនា</t>
  </si>
  <si>
    <t>សួន ភក្ដី</t>
  </si>
  <si>
    <t>តើមានអ្នក Marketing ភេទ ប្រុស ប៉ុន្មាននាក់</t>
  </si>
  <si>
    <t>តើមានអ្នក Marketing ភេទ ស្រី ប៉ុន្មាននាក់</t>
  </si>
  <si>
    <t>តើអ្នកដែលមាន ភេទស្រី ប្រាក់ខែក្រោម 200$ មានប៉ុន្មាននាក់</t>
  </si>
  <si>
    <t>តើ Cleaner ភេទ ប្រុស មានប៉ុន្មាននាក់?</t>
  </si>
  <si>
    <t>តើមានបុគ្គលិក ភេទ ប្រុស ប៉ុន្មាននាក់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</si>
</sst>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\ &quot;នាក់&quot;"/>
    <numFmt numFmtId="166" formatCode="#\ &quot;តួនាទី&quot;"/>
    <numFmt numFmtId="168" formatCode="#\ &quot;​នាក់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Khmer OS Siemreap"/>
    </font>
    <font>
      <sz val="14"/>
      <color theme="0"/>
      <name val="Khmer OS Siemreap"/>
    </font>
    <font>
      <b/>
      <sz val="14"/>
      <color rgb="FF002060"/>
      <name val="Khmer OS Siemreap"/>
    </font>
    <font>
      <b/>
      <sz val="18"/>
      <color theme="1"/>
      <name val="Kantumruy"/>
      <family val="2"/>
    </font>
    <font>
      <sz val="18"/>
      <color theme="1"/>
      <name val="Kantumruy"/>
      <family val="2"/>
    </font>
    <font>
      <sz val="18"/>
      <color rgb="FFFF0000"/>
      <name val="Times New Roman"/>
      <family val="1"/>
    </font>
    <font>
      <sz val="14"/>
      <color rgb="FFFF0000"/>
      <name val="Khmer OS Siemreap"/>
    </font>
    <font>
      <sz val="14"/>
      <color rgb="FF002060"/>
      <name val="Khmer OS Siemreap"/>
    </font>
    <font>
      <b/>
      <sz val="14"/>
      <color theme="1"/>
      <name val="Khmer OS Siemreap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left" inden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44" fontId="2" fillId="0" borderId="0" xfId="1" applyFont="1" applyProtection="1">
      <protection locked="0"/>
    </xf>
    <xf numFmtId="44" fontId="4" fillId="3" borderId="0" xfId="1" applyFont="1" applyFill="1" applyProtection="1">
      <protection locked="0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left" indent="5"/>
    </xf>
    <xf numFmtId="44" fontId="2" fillId="3" borderId="0" xfId="0" applyNumberFormat="1" applyFont="1" applyFill="1" applyAlignment="1" applyProtection="1">
      <alignment horizontal="center"/>
      <protection locked="0"/>
    </xf>
    <xf numFmtId="0" fontId="3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2" fillId="3" borderId="0" xfId="0" applyNumberFormat="1" applyFont="1" applyFill="1" applyAlignment="1" applyProtection="1">
      <alignment horizontal="center"/>
      <protection locked="0"/>
    </xf>
    <xf numFmtId="166" fontId="2" fillId="3" borderId="0" xfId="0" applyNumberFormat="1" applyFont="1" applyFill="1" applyAlignment="1" applyProtection="1">
      <alignment horizontal="center"/>
      <protection locked="0"/>
    </xf>
    <xf numFmtId="164" fontId="10" fillId="3" borderId="0" xfId="0" applyNumberFormat="1" applyFont="1" applyFill="1" applyAlignment="1" applyProtection="1">
      <alignment horizontal="left" vertical="center"/>
      <protection locked="0"/>
    </xf>
    <xf numFmtId="44" fontId="4" fillId="3" borderId="0" xfId="0" applyNumberFormat="1" applyFont="1" applyFill="1" applyProtection="1">
      <protection locked="0"/>
    </xf>
    <xf numFmtId="0" fontId="2" fillId="0" borderId="0" xfId="0" applyFont="1" applyProtection="1"/>
    <xf numFmtId="0" fontId="3" fillId="2" borderId="0" xfId="0" applyFont="1" applyFill="1" applyAlignment="1" applyProtection="1">
      <alignment horizontal="centerContinuous" vertical="center"/>
    </xf>
    <xf numFmtId="0" fontId="2" fillId="3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/>
    </xf>
    <xf numFmtId="0" fontId="3" fillId="2" borderId="0" xfId="0" applyFont="1" applyFill="1" applyAlignment="1" applyProtection="1">
      <alignment horizontal="center" vertical="center"/>
    </xf>
    <xf numFmtId="0" fontId="8" fillId="0" borderId="0" xfId="0" applyFont="1" applyAlignment="1" applyProtection="1">
      <alignment horizontal="center"/>
    </xf>
    <xf numFmtId="0" fontId="8" fillId="0" borderId="0" xfId="0" applyFont="1" applyAlignment="1" applyProtection="1">
      <alignment horizontal="left" vertical="center"/>
    </xf>
    <xf numFmtId="0" fontId="8" fillId="0" borderId="0" xfId="0" applyFont="1" applyAlignment="1" applyProtection="1">
      <alignment horizontal="left" vertical="center" indent="1"/>
    </xf>
    <xf numFmtId="0" fontId="9" fillId="0" borderId="0" xfId="0" applyFont="1" applyProtection="1"/>
    <xf numFmtId="0" fontId="2" fillId="0" borderId="0" xfId="0" applyNumberFormat="1" applyFont="1" applyAlignment="1" applyProtection="1">
      <alignment horizontal="left" indent="1"/>
      <protection locked="0"/>
    </xf>
    <xf numFmtId="0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1" applyNumberFormat="1" applyFont="1" applyProtection="1">
      <protection locked="0"/>
    </xf>
    <xf numFmtId="0" fontId="2" fillId="0" borderId="0" xfId="0" applyNumberFormat="1" applyFont="1" applyProtection="1">
      <protection locked="0"/>
    </xf>
    <xf numFmtId="168" fontId="2" fillId="3" borderId="0" xfId="0" applyNumberFormat="1" applyFont="1" applyFill="1" applyAlignment="1" applyProtection="1">
      <alignment horizontal="left"/>
      <protection locked="0"/>
    </xf>
  </cellXfs>
  <cellStyles count="2">
    <cellStyle name="Currency" xfId="1" builtinId="4"/>
    <cellStyle name="Normal" xfId="0" builtinId="0"/>
  </cellStyles>
  <dxfs count="13"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  <dxf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D7CC-6B78-43C2-850B-E37F283B59B1}">
  <dimension ref="D8:H16"/>
  <sheetViews>
    <sheetView topLeftCell="A7" workbookViewId="0">
      <selection activeCell="H15" sqref="H15"/>
    </sheetView>
  </sheetViews>
  <sheetFormatPr defaultRowHeight="36.75" x14ac:dyDescent="1"/>
  <cols>
    <col min="1" max="3" width="9.140625" style="12"/>
    <col min="4" max="4" width="10.28515625" style="12" customWidth="1"/>
    <col min="5" max="5" width="9.140625" style="12"/>
    <col min="6" max="6" width="14.28515625" style="12" customWidth="1"/>
    <col min="7" max="7" width="18.85546875" style="12" customWidth="1"/>
    <col min="8" max="8" width="15" style="12" customWidth="1"/>
    <col min="9" max="16384" width="9.140625" style="12"/>
  </cols>
  <sheetData>
    <row r="8" spans="4:8" x14ac:dyDescent="1">
      <c r="F8" s="14" t="s">
        <v>29</v>
      </c>
      <c r="G8" s="11" t="s">
        <v>25</v>
      </c>
    </row>
    <row r="9" spans="4:8" x14ac:dyDescent="1">
      <c r="F9" s="12" t="s">
        <v>30</v>
      </c>
      <c r="G9" s="13">
        <v>45</v>
      </c>
    </row>
    <row r="10" spans="4:8" x14ac:dyDescent="1">
      <c r="F10" s="12" t="s">
        <v>28</v>
      </c>
      <c r="G10" s="13">
        <v>48</v>
      </c>
    </row>
    <row r="11" spans="4:8" x14ac:dyDescent="1">
      <c r="F11" s="12" t="s">
        <v>26</v>
      </c>
      <c r="G11" s="13">
        <v>45</v>
      </c>
    </row>
    <row r="12" spans="4:8" x14ac:dyDescent="1">
      <c r="F12" s="12" t="s">
        <v>28</v>
      </c>
      <c r="G12" s="13">
        <v>32</v>
      </c>
    </row>
    <row r="13" spans="4:8" x14ac:dyDescent="1">
      <c r="F13" s="12" t="s">
        <v>27</v>
      </c>
      <c r="G13" s="13">
        <v>15</v>
      </c>
    </row>
    <row r="14" spans="4:8" x14ac:dyDescent="1">
      <c r="F14" s="12" t="s">
        <v>28</v>
      </c>
      <c r="G14" s="13">
        <v>23</v>
      </c>
    </row>
    <row r="15" spans="4:8" x14ac:dyDescent="1">
      <c r="D15" s="16" t="s">
        <v>31</v>
      </c>
      <c r="E15" s="16"/>
      <c r="F15" s="16"/>
      <c r="G15" s="16"/>
      <c r="H15" s="15">
        <f>COUNTIFS(F9:F14,"ភូមិ",G9:G14,"&gt;=30")</f>
        <v>2</v>
      </c>
    </row>
    <row r="16" spans="4:8" x14ac:dyDescent="1">
      <c r="D16" s="16" t="s">
        <v>32</v>
      </c>
      <c r="E16" s="16"/>
      <c r="F16" s="16"/>
      <c r="G16" s="16"/>
    </row>
  </sheetData>
  <mergeCells count="2">
    <mergeCell ref="D15:G15"/>
    <mergeCell ref="D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0559-B29D-43CD-BC0B-A756CF429C50}">
  <sheetPr>
    <tabColor rgb="FFFF0000"/>
  </sheetPr>
  <dimension ref="E1:P30"/>
  <sheetViews>
    <sheetView tabSelected="1" topLeftCell="E1" workbookViewId="0">
      <selection activeCell="F6" sqref="F6:F195"/>
    </sheetView>
  </sheetViews>
  <sheetFormatPr defaultRowHeight="29.25" x14ac:dyDescent="0.8"/>
  <cols>
    <col min="1" max="4" width="9.140625" style="24"/>
    <col min="5" max="5" width="17.28515625" style="27" customWidth="1"/>
    <col min="6" max="6" width="45.7109375" style="8" customWidth="1"/>
    <col min="7" max="7" width="14" style="7" customWidth="1"/>
    <col min="8" max="8" width="22.42578125" style="7" customWidth="1"/>
    <col min="9" max="9" width="16.5703125" style="8" customWidth="1"/>
    <col min="10" max="10" width="36.7109375" style="24" customWidth="1"/>
    <col min="11" max="11" width="21.85546875" style="24" customWidth="1"/>
    <col min="12" max="16384" width="9.140625" style="24"/>
  </cols>
  <sheetData>
    <row r="1" spans="5:16" x14ac:dyDescent="0.8">
      <c r="E1" s="24"/>
      <c r="F1" s="24"/>
      <c r="G1" s="24"/>
      <c r="H1" s="24"/>
      <c r="I1" s="24"/>
    </row>
    <row r="2" spans="5:16" x14ac:dyDescent="0.8">
      <c r="E2" s="24"/>
      <c r="F2" s="24"/>
      <c r="G2" s="24"/>
      <c r="H2" s="24"/>
      <c r="I2" s="24"/>
    </row>
    <row r="3" spans="5:16" x14ac:dyDescent="0.8">
      <c r="E3" s="24"/>
      <c r="F3" s="24"/>
      <c r="G3" s="24"/>
      <c r="H3" s="24"/>
      <c r="I3" s="24"/>
    </row>
    <row r="4" spans="5:16" x14ac:dyDescent="0.8">
      <c r="E4" s="25"/>
      <c r="F4" s="25" t="s">
        <v>1</v>
      </c>
      <c r="G4" s="25"/>
      <c r="H4" s="25"/>
      <c r="I4" s="25"/>
    </row>
    <row r="5" spans="5:16" x14ac:dyDescent="0.8">
      <c r="E5" s="26" t="s">
        <v>2</v>
      </c>
      <c r="F5" s="26" t="s">
        <v>6</v>
      </c>
      <c r="G5" s="26" t="s">
        <v>3</v>
      </c>
      <c r="H5" s="26" t="s">
        <v>4</v>
      </c>
      <c r="I5" s="26" t="s">
        <v>5</v>
      </c>
    </row>
    <row r="6" spans="5:16" x14ac:dyDescent="0.8">
      <c r="E6" s="27" cm="1">
        <f t="array" ref="E6:E13">_xlfn.SEQUENCE(COUNTA(F6:F195))</f>
        <v>1</v>
      </c>
      <c r="F6" s="5" t="s">
        <v>7</v>
      </c>
      <c r="G6" s="6" t="s">
        <v>15</v>
      </c>
      <c r="H6" s="7" t="s">
        <v>17</v>
      </c>
      <c r="I6" s="9">
        <v>800</v>
      </c>
    </row>
    <row r="7" spans="5:16" x14ac:dyDescent="0.8">
      <c r="E7" s="27">
        <v>2</v>
      </c>
      <c r="F7" s="5" t="s">
        <v>8</v>
      </c>
      <c r="G7" s="6" t="s">
        <v>16</v>
      </c>
      <c r="H7" s="7" t="s">
        <v>18</v>
      </c>
      <c r="I7" s="9">
        <v>500</v>
      </c>
    </row>
    <row r="8" spans="5:16" x14ac:dyDescent="0.8">
      <c r="E8" s="27">
        <v>3</v>
      </c>
      <c r="F8" s="5" t="s">
        <v>9</v>
      </c>
      <c r="G8" s="6" t="s">
        <v>15</v>
      </c>
      <c r="H8" s="7" t="s">
        <v>19</v>
      </c>
      <c r="I8" s="9">
        <v>600</v>
      </c>
    </row>
    <row r="9" spans="5:16" x14ac:dyDescent="0.8">
      <c r="E9" s="27">
        <v>4</v>
      </c>
      <c r="F9" s="5" t="s">
        <v>10</v>
      </c>
      <c r="G9" s="6" t="s">
        <v>15</v>
      </c>
      <c r="H9" s="7" t="s">
        <v>20</v>
      </c>
      <c r="I9" s="9">
        <v>200</v>
      </c>
    </row>
    <row r="10" spans="5:16" x14ac:dyDescent="0.8">
      <c r="E10" s="27">
        <v>5</v>
      </c>
      <c r="F10" s="5" t="s">
        <v>11</v>
      </c>
      <c r="G10" s="6" t="s">
        <v>16</v>
      </c>
      <c r="H10" s="7" t="s">
        <v>20</v>
      </c>
      <c r="I10" s="9">
        <v>200</v>
      </c>
    </row>
    <row r="11" spans="5:16" x14ac:dyDescent="0.8">
      <c r="E11" s="27">
        <v>6</v>
      </c>
      <c r="F11" s="5" t="s">
        <v>12</v>
      </c>
      <c r="G11" s="6" t="s">
        <v>15</v>
      </c>
      <c r="H11" s="7" t="s">
        <v>20</v>
      </c>
      <c r="I11" s="9">
        <v>200</v>
      </c>
    </row>
    <row r="12" spans="5:16" x14ac:dyDescent="0.8">
      <c r="E12" s="27">
        <v>7</v>
      </c>
      <c r="F12" s="5" t="s">
        <v>13</v>
      </c>
      <c r="G12" s="6" t="s">
        <v>16</v>
      </c>
      <c r="H12" s="7" t="s">
        <v>22</v>
      </c>
      <c r="I12" s="9">
        <v>120</v>
      </c>
    </row>
    <row r="13" spans="5:16" x14ac:dyDescent="0.8">
      <c r="E13" s="27">
        <v>8</v>
      </c>
      <c r="F13" s="5" t="s">
        <v>14</v>
      </c>
      <c r="G13" s="6" t="s">
        <v>15</v>
      </c>
      <c r="H13" s="7" t="s">
        <v>21</v>
      </c>
      <c r="I13" s="9">
        <v>130</v>
      </c>
      <c r="J13" s="24" t="s">
        <v>23</v>
      </c>
      <c r="K13" s="23"/>
    </row>
    <row r="14" spans="5:16" x14ac:dyDescent="0.8">
      <c r="I14" s="8" t="s">
        <v>34</v>
      </c>
      <c r="J14" s="28" t="str">
        <f ca="1">IF(K13="","",_xlfn.FORMULATEXT(K13))</f>
        <v/>
      </c>
      <c r="K14" s="28"/>
      <c r="L14" s="28"/>
      <c r="M14" s="28"/>
      <c r="N14" s="28"/>
      <c r="O14" s="28"/>
      <c r="P14" s="28"/>
    </row>
    <row r="30" spans="7:7" x14ac:dyDescent="0.8">
      <c r="G30" s="7" t="s">
        <v>0</v>
      </c>
    </row>
  </sheetData>
  <sheetProtection algorithmName="SHA-512" hashValue="UJ9WUWxLrlz+mlhXgbZqiVHmQKjqIORzHJAvKMZKY7JyLxM2s3VCiyB8WUqtHIZGw/ut73ac+hquwffCsOkjjg==" saltValue="1FmDFTBpcZQwjJIti1m8rg==" spinCount="100000" sheet="1" objects="1" scenarios="1"/>
  <mergeCells count="1">
    <mergeCell ref="J14:P14"/>
  </mergeCells>
  <conditionalFormatting sqref="E5:I1048576">
    <cfRule type="expression" dxfId="12" priority="1">
      <formula>OR($F5&lt;&gt;"")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8AF5-3D9B-4296-9E5E-FB674B6E612C}">
  <sheetPr>
    <tabColor rgb="FF00B050"/>
  </sheetPr>
  <dimension ref="E1:M30"/>
  <sheetViews>
    <sheetView topLeftCell="B1" workbookViewId="0">
      <selection activeCell="F6" sqref="F6:F195"/>
    </sheetView>
  </sheetViews>
  <sheetFormatPr defaultRowHeight="29.25" x14ac:dyDescent="0.8"/>
  <cols>
    <col min="1" max="4" width="9.140625" style="24"/>
    <col min="5" max="5" width="17.28515625" style="27" customWidth="1"/>
    <col min="6" max="6" width="45.7109375" style="8" customWidth="1"/>
    <col min="7" max="7" width="14" style="8" customWidth="1"/>
    <col min="8" max="8" width="22.42578125" style="8" customWidth="1"/>
    <col min="9" max="9" width="16.5703125" style="9" customWidth="1"/>
    <col min="10" max="10" width="36.7109375" style="24" customWidth="1"/>
    <col min="11" max="11" width="21.85546875" style="24" customWidth="1"/>
    <col min="12" max="16384" width="9.140625" style="24"/>
  </cols>
  <sheetData>
    <row r="1" spans="5:13" x14ac:dyDescent="0.8">
      <c r="F1" s="24"/>
      <c r="G1" s="24"/>
      <c r="H1" s="24"/>
      <c r="I1" s="24"/>
    </row>
    <row r="2" spans="5:13" x14ac:dyDescent="0.8">
      <c r="F2" s="24"/>
      <c r="G2" s="24"/>
      <c r="H2" s="24"/>
      <c r="I2" s="24"/>
    </row>
    <row r="3" spans="5:13" x14ac:dyDescent="0.8">
      <c r="F3" s="24"/>
      <c r="G3" s="24"/>
      <c r="H3" s="24"/>
      <c r="I3" s="24"/>
    </row>
    <row r="4" spans="5:13" x14ac:dyDescent="0.8">
      <c r="E4" s="29"/>
      <c r="F4" s="25" t="s">
        <v>1</v>
      </c>
      <c r="G4" s="25"/>
      <c r="H4" s="25"/>
      <c r="I4" s="25"/>
    </row>
    <row r="5" spans="5:13" x14ac:dyDescent="0.8">
      <c r="E5" s="26" t="s">
        <v>2</v>
      </c>
      <c r="F5" s="26" t="s">
        <v>6</v>
      </c>
      <c r="G5" s="26" t="s">
        <v>3</v>
      </c>
      <c r="H5" s="26" t="s">
        <v>4</v>
      </c>
      <c r="I5" s="26" t="s">
        <v>5</v>
      </c>
    </row>
    <row r="6" spans="5:13" x14ac:dyDescent="0.8">
      <c r="E6" s="27" cm="1">
        <f t="array" ref="E6:E13">_xlfn.SEQUENCE(COUNTA(F6:F195))</f>
        <v>1</v>
      </c>
      <c r="F6" s="5" t="s">
        <v>7</v>
      </c>
      <c r="G6" s="6" t="s">
        <v>15</v>
      </c>
      <c r="H6" s="7" t="s">
        <v>17</v>
      </c>
      <c r="I6" s="9">
        <v>800</v>
      </c>
    </row>
    <row r="7" spans="5:13" x14ac:dyDescent="0.8">
      <c r="E7" s="27">
        <v>2</v>
      </c>
      <c r="F7" s="5" t="s">
        <v>8</v>
      </c>
      <c r="G7" s="6" t="s">
        <v>16</v>
      </c>
      <c r="H7" s="7" t="s">
        <v>18</v>
      </c>
      <c r="I7" s="9">
        <v>500</v>
      </c>
    </row>
    <row r="8" spans="5:13" x14ac:dyDescent="0.8">
      <c r="E8" s="27">
        <v>3</v>
      </c>
      <c r="F8" s="5" t="s">
        <v>9</v>
      </c>
      <c r="G8" s="6" t="s">
        <v>15</v>
      </c>
      <c r="H8" s="7" t="s">
        <v>19</v>
      </c>
      <c r="I8" s="9">
        <v>600</v>
      </c>
    </row>
    <row r="9" spans="5:13" x14ac:dyDescent="0.8">
      <c r="E9" s="27">
        <v>4</v>
      </c>
      <c r="F9" s="5" t="s">
        <v>10</v>
      </c>
      <c r="G9" s="6" t="s">
        <v>15</v>
      </c>
      <c r="H9" s="7" t="s">
        <v>20</v>
      </c>
      <c r="I9" s="9">
        <v>200</v>
      </c>
    </row>
    <row r="10" spans="5:13" x14ac:dyDescent="0.8">
      <c r="E10" s="27">
        <v>5</v>
      </c>
      <c r="F10" s="5" t="s">
        <v>11</v>
      </c>
      <c r="G10" s="6" t="s">
        <v>16</v>
      </c>
      <c r="H10" s="7" t="s">
        <v>20</v>
      </c>
      <c r="I10" s="9">
        <v>200</v>
      </c>
    </row>
    <row r="11" spans="5:13" x14ac:dyDescent="0.8">
      <c r="E11" s="27">
        <v>6</v>
      </c>
      <c r="F11" s="5" t="s">
        <v>12</v>
      </c>
      <c r="G11" s="6" t="s">
        <v>15</v>
      </c>
      <c r="H11" s="7" t="s">
        <v>20</v>
      </c>
      <c r="I11" s="9">
        <v>200</v>
      </c>
    </row>
    <row r="12" spans="5:13" x14ac:dyDescent="0.8">
      <c r="E12" s="27">
        <v>7</v>
      </c>
      <c r="F12" s="5" t="s">
        <v>13</v>
      </c>
      <c r="G12" s="6" t="s">
        <v>16</v>
      </c>
      <c r="H12" s="7" t="s">
        <v>22</v>
      </c>
      <c r="I12" s="9">
        <v>120</v>
      </c>
    </row>
    <row r="13" spans="5:13" x14ac:dyDescent="0.8">
      <c r="E13" s="27">
        <v>8</v>
      </c>
      <c r="F13" s="5" t="s">
        <v>14</v>
      </c>
      <c r="G13" s="6" t="s">
        <v>15</v>
      </c>
      <c r="H13" s="7" t="s">
        <v>21</v>
      </c>
      <c r="I13" s="9">
        <v>130</v>
      </c>
      <c r="J13" s="24" t="s">
        <v>24</v>
      </c>
      <c r="K13" s="10"/>
    </row>
    <row r="14" spans="5:13" x14ac:dyDescent="0.8">
      <c r="I14" s="8" t="s">
        <v>34</v>
      </c>
      <c r="J14" s="30" t="str">
        <f ca="1">IF(K13="","",_xlfn.FORMULATEXT(K13))</f>
        <v/>
      </c>
      <c r="K14" s="30"/>
      <c r="L14" s="30"/>
      <c r="M14" s="30"/>
    </row>
    <row r="30" spans="7:7" x14ac:dyDescent="0.8">
      <c r="G30" s="8" t="s">
        <v>0</v>
      </c>
    </row>
  </sheetData>
  <sheetProtection algorithmName="SHA-512" hashValue="RcfZjxuGJZ49WUMLbMhYoWjEiasZkRaA6xhjbMXGE6fNaeI0Ia+K1k59ko2ryYW/n+HgDMpuwN/t520e36pPJQ==" saltValue="PcM79oZS6DKwi3sj965XuA==" spinCount="100000" sheet="1" objects="1" scenarios="1"/>
  <mergeCells count="1">
    <mergeCell ref="J14:M14"/>
  </mergeCells>
  <conditionalFormatting sqref="E5:I13 E15:I1048576 E14:H14">
    <cfRule type="expression" dxfId="11" priority="2">
      <formula>OR($F5&lt;&gt;"")</formula>
    </cfRule>
  </conditionalFormatting>
  <conditionalFormatting sqref="I14">
    <cfRule type="expression" dxfId="5" priority="1">
      <formula>OR($F14&lt;&gt;"")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91DF-8FF2-40E5-9AE9-785F0B5DA684}">
  <sheetPr>
    <tabColor rgb="FFFF0000"/>
  </sheetPr>
  <dimension ref="E1:M30"/>
  <sheetViews>
    <sheetView topLeftCell="E4" workbookViewId="0">
      <selection activeCell="K13" sqref="K13"/>
    </sheetView>
  </sheetViews>
  <sheetFormatPr defaultRowHeight="29.25" x14ac:dyDescent="0.8"/>
  <cols>
    <col min="1" max="4" width="9.140625" style="24"/>
    <col min="5" max="5" width="17.28515625" style="27" customWidth="1"/>
    <col min="6" max="6" width="45.7109375" style="8" customWidth="1"/>
    <col min="7" max="7" width="14" style="8" customWidth="1"/>
    <col min="8" max="8" width="22.42578125" style="8" customWidth="1"/>
    <col min="9" max="9" width="16.5703125" style="9" customWidth="1"/>
    <col min="10" max="10" width="29" style="24" customWidth="1"/>
    <col min="11" max="11" width="23.5703125" style="24" customWidth="1"/>
    <col min="12" max="16384" width="9.140625" style="24"/>
  </cols>
  <sheetData>
    <row r="1" spans="5:13" x14ac:dyDescent="0.8">
      <c r="F1" s="24"/>
      <c r="G1" s="24"/>
      <c r="H1" s="24"/>
      <c r="I1" s="24"/>
    </row>
    <row r="2" spans="5:13" x14ac:dyDescent="0.8">
      <c r="F2" s="24"/>
      <c r="G2" s="24"/>
      <c r="H2" s="24"/>
      <c r="I2" s="24"/>
    </row>
    <row r="3" spans="5:13" x14ac:dyDescent="0.8">
      <c r="F3" s="24"/>
      <c r="G3" s="24"/>
      <c r="H3" s="24"/>
      <c r="I3" s="24"/>
    </row>
    <row r="4" spans="5:13" x14ac:dyDescent="0.8">
      <c r="E4" s="29"/>
      <c r="F4" s="25" t="s">
        <v>1</v>
      </c>
      <c r="G4" s="25"/>
      <c r="H4" s="25"/>
      <c r="I4" s="25"/>
    </row>
    <row r="5" spans="5:13" x14ac:dyDescent="0.8">
      <c r="E5" s="26" t="s">
        <v>2</v>
      </c>
      <c r="F5" s="26" t="s">
        <v>6</v>
      </c>
      <c r="G5" s="26" t="s">
        <v>3</v>
      </c>
      <c r="H5" s="26" t="s">
        <v>4</v>
      </c>
      <c r="I5" s="26" t="s">
        <v>5</v>
      </c>
    </row>
    <row r="6" spans="5:13" x14ac:dyDescent="0.8">
      <c r="E6" s="27" cm="1">
        <f t="array" ref="E6:E13">_xlfn.SEQUENCE(COUNTA(F6:F195))</f>
        <v>1</v>
      </c>
      <c r="F6" s="5" t="s">
        <v>7</v>
      </c>
      <c r="G6" s="6" t="s">
        <v>15</v>
      </c>
      <c r="H6" s="7" t="s">
        <v>17</v>
      </c>
      <c r="I6" s="9">
        <v>800</v>
      </c>
    </row>
    <row r="7" spans="5:13" x14ac:dyDescent="0.8">
      <c r="E7" s="27">
        <v>2</v>
      </c>
      <c r="F7" s="5" t="s">
        <v>8</v>
      </c>
      <c r="G7" s="6" t="s">
        <v>16</v>
      </c>
      <c r="H7" s="7" t="s">
        <v>18</v>
      </c>
      <c r="I7" s="9">
        <v>500</v>
      </c>
    </row>
    <row r="8" spans="5:13" x14ac:dyDescent="0.8">
      <c r="E8" s="27">
        <v>3</v>
      </c>
      <c r="F8" s="5" t="s">
        <v>9</v>
      </c>
      <c r="G8" s="6" t="s">
        <v>15</v>
      </c>
      <c r="H8" s="7" t="s">
        <v>19</v>
      </c>
      <c r="I8" s="9">
        <v>600</v>
      </c>
    </row>
    <row r="9" spans="5:13" x14ac:dyDescent="0.8">
      <c r="E9" s="27">
        <v>4</v>
      </c>
      <c r="F9" s="5" t="s">
        <v>10</v>
      </c>
      <c r="G9" s="6" t="s">
        <v>15</v>
      </c>
      <c r="H9" s="7" t="s">
        <v>20</v>
      </c>
      <c r="I9" s="9">
        <v>200</v>
      </c>
    </row>
    <row r="10" spans="5:13" x14ac:dyDescent="0.8">
      <c r="E10" s="27">
        <v>5</v>
      </c>
      <c r="F10" s="5" t="s">
        <v>11</v>
      </c>
      <c r="G10" s="6" t="s">
        <v>16</v>
      </c>
      <c r="H10" s="7" t="s">
        <v>20</v>
      </c>
      <c r="I10" s="9">
        <v>200</v>
      </c>
    </row>
    <row r="11" spans="5:13" x14ac:dyDescent="0.8">
      <c r="E11" s="27">
        <v>6</v>
      </c>
      <c r="F11" s="5" t="s">
        <v>12</v>
      </c>
      <c r="G11" s="6" t="s">
        <v>15</v>
      </c>
      <c r="H11" s="7" t="s">
        <v>20</v>
      </c>
      <c r="I11" s="9">
        <v>200</v>
      </c>
    </row>
    <row r="12" spans="5:13" x14ac:dyDescent="0.8">
      <c r="E12" s="27">
        <v>7</v>
      </c>
      <c r="F12" s="5" t="s">
        <v>13</v>
      </c>
      <c r="G12" s="6" t="s">
        <v>16</v>
      </c>
      <c r="H12" s="7" t="s">
        <v>22</v>
      </c>
      <c r="I12" s="9">
        <v>120</v>
      </c>
    </row>
    <row r="13" spans="5:13" x14ac:dyDescent="0.8">
      <c r="E13" s="27">
        <v>8</v>
      </c>
      <c r="F13" s="5" t="s">
        <v>14</v>
      </c>
      <c r="G13" s="6" t="s">
        <v>15</v>
      </c>
      <c r="H13" s="7" t="s">
        <v>21</v>
      </c>
      <c r="I13" s="9">
        <v>130</v>
      </c>
      <c r="J13" s="24" t="s">
        <v>33</v>
      </c>
      <c r="K13" s="17"/>
    </row>
    <row r="14" spans="5:13" x14ac:dyDescent="0.8">
      <c r="I14" s="8" t="s">
        <v>34</v>
      </c>
      <c r="J14" s="31" t="str">
        <f ca="1">IF(K13="","",_xlfn.FORMULATEXT(K13))</f>
        <v/>
      </c>
      <c r="K14" s="31"/>
      <c r="L14" s="31"/>
      <c r="M14" s="31"/>
    </row>
    <row r="30" spans="7:7" x14ac:dyDescent="0.8">
      <c r="G30" s="8" t="s">
        <v>0</v>
      </c>
    </row>
  </sheetData>
  <sheetProtection algorithmName="SHA-512" hashValue="vvM+EUdtKZs3iUcvJlwaJVpyv+hXfX9qOBYfNcmwrVdAynnTVbpduZViFlMOs9CvW24FyxBibBkHH2OGww59Kg==" saltValue="UBVQ2IHh5gdK4bZSEacPww==" spinCount="100000" sheet="1" objects="1" scenarios="1"/>
  <mergeCells count="1">
    <mergeCell ref="J14:M14"/>
  </mergeCells>
  <conditionalFormatting sqref="E5:I13 E15:I1048576 E14:H14">
    <cfRule type="expression" dxfId="10" priority="2">
      <formula>OR($F5&lt;&gt;"")</formula>
    </cfRule>
  </conditionalFormatting>
  <conditionalFormatting sqref="I14">
    <cfRule type="expression" dxfId="4" priority="1">
      <formula>OR($F14&lt;&gt;"")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6135-E842-4766-9793-45E574F7C826}">
  <sheetPr>
    <tabColor rgb="FFFF0000"/>
  </sheetPr>
  <dimension ref="E1:N30"/>
  <sheetViews>
    <sheetView topLeftCell="E1" workbookViewId="0">
      <selection activeCell="E1" sqref="A1:XFD1048576"/>
    </sheetView>
  </sheetViews>
  <sheetFormatPr defaultRowHeight="29.25" x14ac:dyDescent="0.8"/>
  <cols>
    <col min="1" max="4" width="9.140625" style="1"/>
    <col min="5" max="5" width="17.28515625" style="4" customWidth="1"/>
    <col min="6" max="6" width="45.7109375" style="8" customWidth="1"/>
    <col min="7" max="7" width="14" style="8" customWidth="1"/>
    <col min="8" max="8" width="22.42578125" style="8" customWidth="1"/>
    <col min="9" max="9" width="16.5703125" style="9" customWidth="1"/>
    <col min="10" max="10" width="29" style="1" customWidth="1"/>
    <col min="11" max="11" width="23.5703125" style="1" customWidth="1"/>
    <col min="12" max="16384" width="9.140625" style="1"/>
  </cols>
  <sheetData>
    <row r="1" spans="5:14" x14ac:dyDescent="0.8">
      <c r="F1" s="1"/>
      <c r="G1" s="1"/>
      <c r="H1" s="1"/>
      <c r="I1" s="1"/>
    </row>
    <row r="2" spans="5:14" x14ac:dyDescent="0.8">
      <c r="F2" s="1"/>
      <c r="G2" s="1"/>
      <c r="H2" s="1"/>
      <c r="I2" s="1"/>
    </row>
    <row r="3" spans="5:14" x14ac:dyDescent="0.8">
      <c r="F3" s="1"/>
      <c r="G3" s="1"/>
      <c r="H3" s="1"/>
      <c r="I3" s="1"/>
    </row>
    <row r="4" spans="5:14" x14ac:dyDescent="0.8">
      <c r="E4" s="18"/>
      <c r="F4" s="2" t="s">
        <v>1</v>
      </c>
      <c r="G4" s="2"/>
      <c r="H4" s="2"/>
      <c r="I4" s="2"/>
    </row>
    <row r="5" spans="5:14" x14ac:dyDescent="0.8">
      <c r="E5" s="3" t="s">
        <v>2</v>
      </c>
      <c r="F5" s="3" t="s">
        <v>6</v>
      </c>
      <c r="G5" s="3" t="s">
        <v>3</v>
      </c>
      <c r="H5" s="3" t="s">
        <v>4</v>
      </c>
      <c r="I5" s="3" t="s">
        <v>5</v>
      </c>
    </row>
    <row r="6" spans="5:14" x14ac:dyDescent="0.8">
      <c r="E6" s="4" cm="1">
        <f t="array" ref="E6:E13">_xlfn.SEQUENCE(COUNTA(F6:F195))</f>
        <v>1</v>
      </c>
      <c r="F6" s="5" t="s">
        <v>7</v>
      </c>
      <c r="G6" s="6" t="s">
        <v>15</v>
      </c>
      <c r="H6" s="7" t="s">
        <v>17</v>
      </c>
      <c r="I6" s="9">
        <v>800</v>
      </c>
    </row>
    <row r="7" spans="5:14" x14ac:dyDescent="0.8">
      <c r="E7" s="4">
        <v>2</v>
      </c>
      <c r="F7" s="5" t="s">
        <v>8</v>
      </c>
      <c r="G7" s="6" t="s">
        <v>16</v>
      </c>
      <c r="H7" s="7" t="s">
        <v>18</v>
      </c>
      <c r="I7" s="9">
        <v>500</v>
      </c>
    </row>
    <row r="8" spans="5:14" x14ac:dyDescent="0.8">
      <c r="E8" s="4">
        <v>3</v>
      </c>
      <c r="F8" s="5" t="s">
        <v>9</v>
      </c>
      <c r="G8" s="6" t="s">
        <v>15</v>
      </c>
      <c r="H8" s="7" t="s">
        <v>19</v>
      </c>
      <c r="I8" s="9">
        <v>600</v>
      </c>
    </row>
    <row r="9" spans="5:14" x14ac:dyDescent="0.8">
      <c r="E9" s="4">
        <v>4</v>
      </c>
      <c r="F9" s="5" t="s">
        <v>10</v>
      </c>
      <c r="G9" s="6" t="s">
        <v>15</v>
      </c>
      <c r="H9" s="7" t="s">
        <v>20</v>
      </c>
      <c r="I9" s="9">
        <v>200</v>
      </c>
    </row>
    <row r="10" spans="5:14" x14ac:dyDescent="0.8">
      <c r="E10" s="4">
        <v>5</v>
      </c>
      <c r="F10" s="5" t="s">
        <v>11</v>
      </c>
      <c r="G10" s="6" t="s">
        <v>16</v>
      </c>
      <c r="H10" s="7" t="s">
        <v>20</v>
      </c>
      <c r="I10" s="9">
        <v>200</v>
      </c>
    </row>
    <row r="11" spans="5:14" x14ac:dyDescent="0.8">
      <c r="E11" s="4">
        <v>6</v>
      </c>
      <c r="F11" s="5" t="s">
        <v>12</v>
      </c>
      <c r="G11" s="6" t="s">
        <v>15</v>
      </c>
      <c r="H11" s="7" t="s">
        <v>20</v>
      </c>
      <c r="I11" s="9">
        <v>200</v>
      </c>
    </row>
    <row r="12" spans="5:14" x14ac:dyDescent="0.8">
      <c r="E12" s="4">
        <v>7</v>
      </c>
      <c r="F12" s="5" t="s">
        <v>13</v>
      </c>
      <c r="G12" s="6" t="s">
        <v>16</v>
      </c>
      <c r="H12" s="7" t="s">
        <v>22</v>
      </c>
      <c r="I12" s="9">
        <v>120</v>
      </c>
    </row>
    <row r="13" spans="5:14" x14ac:dyDescent="0.8">
      <c r="E13" s="4">
        <v>8</v>
      </c>
      <c r="F13" s="5" t="s">
        <v>14</v>
      </c>
      <c r="G13" s="6" t="s">
        <v>15</v>
      </c>
      <c r="H13" s="7" t="s">
        <v>21</v>
      </c>
      <c r="I13" s="9">
        <v>130</v>
      </c>
      <c r="J13" s="1" t="s">
        <v>35</v>
      </c>
      <c r="K13" s="20"/>
    </row>
    <row r="14" spans="5:14" x14ac:dyDescent="0.8">
      <c r="I14" s="1" t="s">
        <v>34</v>
      </c>
      <c r="J14" s="19" t="str">
        <f ca="1">IF(K13="","",_xlfn.FORMULATEXT(K13))</f>
        <v/>
      </c>
      <c r="K14" s="19"/>
      <c r="L14" s="19"/>
      <c r="M14" s="19"/>
      <c r="N14" s="19"/>
    </row>
    <row r="30" spans="7:7" x14ac:dyDescent="0.8">
      <c r="G30" s="8" t="s">
        <v>0</v>
      </c>
    </row>
  </sheetData>
  <sheetProtection algorithmName="SHA-512" hashValue="8VFY4oYYu1VyGJIa7eRu4lKVc6DBmA2LZXyBsCidC7RphrmopeDuK8viJIi32zCZ6N+cLPeNFBAIZ9HQMfPY+A==" saltValue="0Zj48XugsBsAkK4U9rwGnw==" spinCount="100000" sheet="1" objects="1" scenarios="1"/>
  <mergeCells count="1">
    <mergeCell ref="J14:N14"/>
  </mergeCells>
  <conditionalFormatting sqref="E5:I13 E15:I1048576 E14:H14">
    <cfRule type="expression" dxfId="9" priority="2">
      <formula>OR($F5&lt;&gt;"")</formula>
    </cfRule>
  </conditionalFormatting>
  <conditionalFormatting sqref="I14">
    <cfRule type="expression" dxfId="3" priority="1">
      <formula>OR($F14&lt;&gt;"")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4326-CD4F-413D-B012-9BB77532A536}">
  <sheetPr>
    <tabColor rgb="FFFF0000"/>
  </sheetPr>
  <dimension ref="E1:N30"/>
  <sheetViews>
    <sheetView topLeftCell="E1" workbookViewId="0">
      <selection activeCell="K13" activeCellId="1" sqref="F6:I1048576 K13"/>
    </sheetView>
  </sheetViews>
  <sheetFormatPr defaultRowHeight="29.25" x14ac:dyDescent="0.8"/>
  <cols>
    <col min="1" max="4" width="9.140625" style="24"/>
    <col min="5" max="5" width="17.28515625" style="27" customWidth="1"/>
    <col min="6" max="6" width="45.7109375" style="8" customWidth="1"/>
    <col min="7" max="7" width="14" style="8" customWidth="1"/>
    <col min="8" max="8" width="22.42578125" style="8" customWidth="1"/>
    <col min="9" max="9" width="16.5703125" style="9" customWidth="1"/>
    <col min="10" max="10" width="30.42578125" style="24" customWidth="1"/>
    <col min="11" max="11" width="23.5703125" style="24" customWidth="1"/>
    <col min="12" max="16384" width="9.140625" style="24"/>
  </cols>
  <sheetData>
    <row r="1" spans="5:14" x14ac:dyDescent="0.8">
      <c r="F1" s="24"/>
      <c r="G1" s="24"/>
      <c r="H1" s="24"/>
      <c r="I1" s="24"/>
    </row>
    <row r="2" spans="5:14" x14ac:dyDescent="0.8">
      <c r="F2" s="24"/>
      <c r="G2" s="24"/>
      <c r="H2" s="24"/>
      <c r="I2" s="24"/>
    </row>
    <row r="3" spans="5:14" x14ac:dyDescent="0.8">
      <c r="F3" s="24"/>
      <c r="G3" s="24"/>
      <c r="H3" s="24"/>
      <c r="I3" s="24"/>
    </row>
    <row r="4" spans="5:14" x14ac:dyDescent="0.8">
      <c r="E4" s="29"/>
      <c r="F4" s="25" t="s">
        <v>1</v>
      </c>
      <c r="G4" s="25"/>
      <c r="H4" s="25"/>
      <c r="I4" s="25"/>
    </row>
    <row r="5" spans="5:14" x14ac:dyDescent="0.8">
      <c r="E5" s="26" t="s">
        <v>2</v>
      </c>
      <c r="F5" s="26" t="s">
        <v>6</v>
      </c>
      <c r="G5" s="26" t="s">
        <v>3</v>
      </c>
      <c r="H5" s="26" t="s">
        <v>4</v>
      </c>
      <c r="I5" s="26" t="s">
        <v>5</v>
      </c>
    </row>
    <row r="6" spans="5:14" x14ac:dyDescent="0.8">
      <c r="E6" s="27" cm="1">
        <f t="array" ref="E6:E12">_xlfn.SEQUENCE(COUNTA(F6:F195))</f>
        <v>1</v>
      </c>
      <c r="F6" s="5" t="s">
        <v>7</v>
      </c>
      <c r="G6" s="6" t="s">
        <v>15</v>
      </c>
      <c r="H6" s="7" t="s">
        <v>17</v>
      </c>
      <c r="I6" s="9">
        <v>800</v>
      </c>
    </row>
    <row r="7" spans="5:14" x14ac:dyDescent="0.8">
      <c r="E7" s="27">
        <v>2</v>
      </c>
      <c r="F7" s="5" t="s">
        <v>8</v>
      </c>
      <c r="G7" s="6" t="s">
        <v>16</v>
      </c>
      <c r="H7" s="7" t="s">
        <v>18</v>
      </c>
      <c r="I7" s="9">
        <v>500</v>
      </c>
    </row>
    <row r="8" spans="5:14" x14ac:dyDescent="0.8">
      <c r="E8" s="27">
        <v>3</v>
      </c>
      <c r="F8" s="5" t="s">
        <v>9</v>
      </c>
      <c r="G8" s="6" t="s">
        <v>15</v>
      </c>
      <c r="H8" s="7" t="s">
        <v>19</v>
      </c>
      <c r="I8" s="9">
        <v>600</v>
      </c>
    </row>
    <row r="9" spans="5:14" x14ac:dyDescent="0.8">
      <c r="E9" s="27">
        <v>4</v>
      </c>
      <c r="F9" s="5" t="s">
        <v>10</v>
      </c>
      <c r="G9" s="6" t="s">
        <v>15</v>
      </c>
      <c r="H9" s="7" t="s">
        <v>20</v>
      </c>
      <c r="I9" s="9">
        <v>200</v>
      </c>
    </row>
    <row r="10" spans="5:14" x14ac:dyDescent="0.8">
      <c r="E10" s="27">
        <v>5</v>
      </c>
      <c r="F10" s="5" t="s">
        <v>11</v>
      </c>
      <c r="G10" s="6" t="s">
        <v>16</v>
      </c>
      <c r="H10" s="7" t="s">
        <v>20</v>
      </c>
      <c r="I10" s="9">
        <v>200</v>
      </c>
    </row>
    <row r="11" spans="5:14" x14ac:dyDescent="0.8">
      <c r="E11" s="27">
        <v>6</v>
      </c>
      <c r="F11" s="5" t="s">
        <v>12</v>
      </c>
      <c r="G11" s="6" t="s">
        <v>15</v>
      </c>
      <c r="H11" s="7" t="s">
        <v>20</v>
      </c>
      <c r="I11" s="9">
        <v>200</v>
      </c>
    </row>
    <row r="12" spans="5:14" x14ac:dyDescent="0.8">
      <c r="E12" s="27">
        <v>7</v>
      </c>
      <c r="F12" s="5" t="s">
        <v>13</v>
      </c>
      <c r="G12" s="6" t="s">
        <v>16</v>
      </c>
      <c r="H12" s="7" t="s">
        <v>22</v>
      </c>
      <c r="I12" s="9">
        <v>120</v>
      </c>
    </row>
    <row r="13" spans="5:14" x14ac:dyDescent="0.8">
      <c r="F13" s="5"/>
      <c r="G13" s="6"/>
      <c r="H13" s="7"/>
      <c r="J13" s="24" t="s">
        <v>36</v>
      </c>
      <c r="K13" s="21"/>
    </row>
    <row r="14" spans="5:14" x14ac:dyDescent="0.8">
      <c r="I14" s="8" t="s">
        <v>34</v>
      </c>
      <c r="J14" s="31" t="str">
        <f ca="1">IF(K13="","",_xlfn.FORMULATEXT(K13))</f>
        <v/>
      </c>
      <c r="K14" s="31"/>
      <c r="L14" s="31"/>
      <c r="M14" s="31"/>
      <c r="N14" s="31"/>
    </row>
    <row r="30" spans="7:7" x14ac:dyDescent="0.8">
      <c r="G30" s="8" t="s">
        <v>0</v>
      </c>
    </row>
  </sheetData>
  <sheetProtection algorithmName="SHA-512" hashValue="Klauvb1/RNKHJ4mCVhm9pySBN1T+bzxnC7jZS/ufgdm9WrN5LE92zEdrA6K1Qx9SiSTzDUGiXaAL+VZYhdOe4Q==" saltValue="7VBvY8qBavQGFvH7CBydWQ==" spinCount="100000" sheet="1" objects="1" scenarios="1"/>
  <mergeCells count="1">
    <mergeCell ref="J14:N14"/>
  </mergeCells>
  <conditionalFormatting sqref="E5:I13 E15:I1048576 E14:H14">
    <cfRule type="expression" dxfId="8" priority="2">
      <formula>OR($F5&lt;&gt;"")</formula>
    </cfRule>
  </conditionalFormatting>
  <conditionalFormatting sqref="I14">
    <cfRule type="expression" dxfId="2" priority="1">
      <formula>OR($F14&lt;&gt;"")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7373-DCF2-4392-8A3D-B0FF04AC7957}">
  <sheetPr>
    <tabColor rgb="FFFF0000"/>
  </sheetPr>
  <dimension ref="E1:L30"/>
  <sheetViews>
    <sheetView topLeftCell="E6" workbookViewId="0">
      <selection activeCell="K17" sqref="K17"/>
    </sheetView>
  </sheetViews>
  <sheetFormatPr defaultRowHeight="29.25" x14ac:dyDescent="0.8"/>
  <cols>
    <col min="1" max="4" width="9.140625" style="24"/>
    <col min="5" max="5" width="17.28515625" style="27" customWidth="1"/>
    <col min="6" max="6" width="45.7109375" style="8" customWidth="1"/>
    <col min="7" max="7" width="14" style="8" customWidth="1"/>
    <col min="8" max="8" width="22.42578125" style="7" customWidth="1"/>
    <col min="9" max="9" width="16.5703125" style="9" customWidth="1"/>
    <col min="10" max="10" width="44.140625" style="24" customWidth="1"/>
    <col min="11" max="11" width="25.7109375" style="24" customWidth="1"/>
    <col min="12" max="16384" width="9.140625" style="24"/>
  </cols>
  <sheetData>
    <row r="1" spans="5:12" x14ac:dyDescent="0.8">
      <c r="F1" s="24"/>
      <c r="G1" s="24"/>
      <c r="H1" s="24"/>
      <c r="I1" s="24"/>
    </row>
    <row r="2" spans="5:12" x14ac:dyDescent="0.8">
      <c r="F2" s="24"/>
      <c r="G2" s="24"/>
      <c r="H2" s="24"/>
      <c r="I2" s="24"/>
    </row>
    <row r="3" spans="5:12" x14ac:dyDescent="0.8">
      <c r="F3" s="24"/>
      <c r="G3" s="24"/>
      <c r="H3" s="24"/>
      <c r="I3" s="24"/>
    </row>
    <row r="4" spans="5:12" x14ac:dyDescent="0.8">
      <c r="E4" s="29"/>
      <c r="F4" s="25" t="s">
        <v>1</v>
      </c>
      <c r="G4" s="25"/>
      <c r="H4" s="29"/>
      <c r="I4" s="25"/>
    </row>
    <row r="5" spans="5:12" x14ac:dyDescent="0.8">
      <c r="E5" s="26" t="s">
        <v>2</v>
      </c>
      <c r="F5" s="26" t="s">
        <v>6</v>
      </c>
      <c r="G5" s="26" t="s">
        <v>3</v>
      </c>
      <c r="H5" s="26" t="s">
        <v>4</v>
      </c>
      <c r="I5" s="26" t="s">
        <v>5</v>
      </c>
    </row>
    <row r="6" spans="5:12" x14ac:dyDescent="0.8">
      <c r="E6" s="27" cm="1">
        <f t="array" ref="E6:E29">_xlfn.SEQUENCE(COUNTA(F6:F195))</f>
        <v>1</v>
      </c>
      <c r="F6" s="5" t="s">
        <v>7</v>
      </c>
      <c r="G6" s="6" t="s">
        <v>15</v>
      </c>
      <c r="H6" s="7" t="s">
        <v>17</v>
      </c>
      <c r="I6" s="9">
        <v>800</v>
      </c>
    </row>
    <row r="7" spans="5:12" x14ac:dyDescent="0.8">
      <c r="E7" s="27">
        <v>2</v>
      </c>
      <c r="F7" s="5" t="s">
        <v>8</v>
      </c>
      <c r="G7" s="6" t="s">
        <v>16</v>
      </c>
      <c r="H7" s="7" t="s">
        <v>18</v>
      </c>
      <c r="I7" s="9">
        <v>500</v>
      </c>
    </row>
    <row r="8" spans="5:12" x14ac:dyDescent="0.8">
      <c r="E8" s="27">
        <v>3</v>
      </c>
      <c r="F8" s="5" t="s">
        <v>9</v>
      </c>
      <c r="G8" s="6" t="s">
        <v>15</v>
      </c>
      <c r="H8" s="7" t="s">
        <v>19</v>
      </c>
      <c r="I8" s="9">
        <v>600</v>
      </c>
    </row>
    <row r="9" spans="5:12" x14ac:dyDescent="0.8">
      <c r="E9" s="27">
        <v>4</v>
      </c>
      <c r="F9" s="5" t="s">
        <v>10</v>
      </c>
      <c r="G9" s="6" t="s">
        <v>15</v>
      </c>
      <c r="H9" s="7" t="s">
        <v>20</v>
      </c>
      <c r="I9" s="9">
        <v>200</v>
      </c>
    </row>
    <row r="10" spans="5:12" x14ac:dyDescent="0.8">
      <c r="E10" s="27">
        <v>5</v>
      </c>
      <c r="F10" s="5" t="s">
        <v>11</v>
      </c>
      <c r="G10" s="6" t="s">
        <v>16</v>
      </c>
      <c r="H10" s="7" t="s">
        <v>19</v>
      </c>
      <c r="I10" s="9">
        <v>600</v>
      </c>
    </row>
    <row r="11" spans="5:12" x14ac:dyDescent="0.8">
      <c r="E11" s="27">
        <v>6</v>
      </c>
      <c r="F11" s="5" t="s">
        <v>12</v>
      </c>
      <c r="G11" s="6" t="s">
        <v>15</v>
      </c>
      <c r="H11" s="7" t="s">
        <v>20</v>
      </c>
      <c r="I11" s="9">
        <v>200</v>
      </c>
    </row>
    <row r="12" spans="5:12" x14ac:dyDescent="0.8">
      <c r="E12" s="27">
        <v>7</v>
      </c>
      <c r="F12" s="5" t="s">
        <v>13</v>
      </c>
      <c r="G12" s="6" t="s">
        <v>16</v>
      </c>
      <c r="H12" s="7" t="s">
        <v>22</v>
      </c>
      <c r="I12" s="9">
        <v>120</v>
      </c>
    </row>
    <row r="13" spans="5:12" x14ac:dyDescent="0.8">
      <c r="E13" s="27">
        <v>8</v>
      </c>
      <c r="F13" s="5" t="s">
        <v>14</v>
      </c>
      <c r="G13" s="6" t="s">
        <v>15</v>
      </c>
      <c r="H13" s="7" t="s">
        <v>21</v>
      </c>
      <c r="I13" s="9">
        <v>130</v>
      </c>
      <c r="J13" s="24" t="s">
        <v>38</v>
      </c>
      <c r="K13" s="22"/>
    </row>
    <row r="14" spans="5:12" x14ac:dyDescent="0.8">
      <c r="E14" s="27">
        <v>9</v>
      </c>
      <c r="F14" s="8" t="s">
        <v>37</v>
      </c>
      <c r="G14" s="7" t="s">
        <v>16</v>
      </c>
      <c r="H14" s="7" t="s">
        <v>19</v>
      </c>
      <c r="I14" s="9">
        <v>600</v>
      </c>
      <c r="J14" s="32" t="str">
        <f ca="1">"រូបមន្ដ៖ "&amp;IF(K13="","",_xlfn.FORMULATEXT(K13))</f>
        <v xml:space="preserve">រូបមន្ដ៖ </v>
      </c>
      <c r="K14" s="32"/>
      <c r="L14" s="32"/>
    </row>
    <row r="15" spans="5:12" x14ac:dyDescent="0.8">
      <c r="E15" s="27">
        <v>10</v>
      </c>
      <c r="F15" s="8" t="s">
        <v>40</v>
      </c>
      <c r="G15" s="6" t="s">
        <v>15</v>
      </c>
      <c r="H15" s="7" t="s">
        <v>22</v>
      </c>
      <c r="I15" s="9">
        <v>120</v>
      </c>
      <c r="J15" s="24" t="s">
        <v>39</v>
      </c>
      <c r="K15" s="22"/>
    </row>
    <row r="16" spans="5:12" x14ac:dyDescent="0.8">
      <c r="E16" s="27">
        <v>11</v>
      </c>
      <c r="F16" s="8" t="s">
        <v>41</v>
      </c>
      <c r="G16" s="7" t="s">
        <v>16</v>
      </c>
      <c r="H16" s="7" t="s">
        <v>22</v>
      </c>
      <c r="I16" s="9">
        <v>120</v>
      </c>
      <c r="J16" s="32" t="str">
        <f ca="1">"រូបមន្ដ៖ "&amp;IF(K15="","",_xlfn.FORMULATEXT(K15))</f>
        <v xml:space="preserve">រូបមន្ដ៖ </v>
      </c>
      <c r="K16" s="32"/>
      <c r="L16" s="32"/>
    </row>
    <row r="17" spans="5:12" x14ac:dyDescent="0.8">
      <c r="E17" s="27">
        <v>12</v>
      </c>
      <c r="F17" s="8" t="s">
        <v>42</v>
      </c>
      <c r="G17" s="6" t="s">
        <v>15</v>
      </c>
      <c r="H17" s="7" t="s">
        <v>19</v>
      </c>
      <c r="I17" s="9">
        <v>600</v>
      </c>
      <c r="J17" s="24" t="s">
        <v>59</v>
      </c>
      <c r="K17" s="22"/>
    </row>
    <row r="18" spans="5:12" x14ac:dyDescent="0.8">
      <c r="E18" s="27">
        <v>13</v>
      </c>
      <c r="F18" s="8" t="s">
        <v>43</v>
      </c>
      <c r="G18" s="7" t="s">
        <v>16</v>
      </c>
      <c r="H18" s="7" t="s">
        <v>18</v>
      </c>
      <c r="I18" s="9">
        <v>500</v>
      </c>
      <c r="J18" s="32" t="str">
        <f ca="1">"រូបមន្ដ៖ "&amp;IF(K17="","",_xlfn.FORMULATEXT(K17))</f>
        <v xml:space="preserve">រូបមន្ដ៖ </v>
      </c>
      <c r="K18" s="32"/>
      <c r="L18" s="32"/>
    </row>
    <row r="19" spans="5:12" x14ac:dyDescent="0.8">
      <c r="E19" s="27">
        <v>14</v>
      </c>
      <c r="F19" s="8" t="s">
        <v>44</v>
      </c>
      <c r="G19" s="6" t="s">
        <v>15</v>
      </c>
      <c r="H19" s="7" t="s">
        <v>18</v>
      </c>
      <c r="I19" s="9">
        <v>500</v>
      </c>
    </row>
    <row r="20" spans="5:12" x14ac:dyDescent="0.8">
      <c r="E20" s="27">
        <v>15</v>
      </c>
      <c r="F20" s="8" t="s">
        <v>45</v>
      </c>
      <c r="G20" s="7" t="s">
        <v>16</v>
      </c>
      <c r="H20" s="7" t="s">
        <v>18</v>
      </c>
      <c r="I20" s="9">
        <v>500</v>
      </c>
    </row>
    <row r="21" spans="5:12" x14ac:dyDescent="0.8">
      <c r="E21" s="27">
        <v>16</v>
      </c>
      <c r="F21" s="8" t="s">
        <v>46</v>
      </c>
      <c r="G21" s="6" t="s">
        <v>15</v>
      </c>
      <c r="H21" s="7" t="s">
        <v>19</v>
      </c>
      <c r="I21" s="9">
        <v>600</v>
      </c>
    </row>
    <row r="22" spans="5:12" x14ac:dyDescent="0.8">
      <c r="E22" s="27">
        <v>17</v>
      </c>
      <c r="F22" s="8" t="s">
        <v>47</v>
      </c>
      <c r="G22" s="7" t="s">
        <v>16</v>
      </c>
      <c r="H22" s="7" t="s">
        <v>22</v>
      </c>
      <c r="I22" s="9">
        <v>120</v>
      </c>
    </row>
    <row r="23" spans="5:12" x14ac:dyDescent="0.8">
      <c r="E23" s="27">
        <v>18</v>
      </c>
      <c r="F23" s="8" t="s">
        <v>48</v>
      </c>
      <c r="G23" s="6" t="s">
        <v>15</v>
      </c>
      <c r="H23" s="7" t="s">
        <v>19</v>
      </c>
      <c r="I23" s="9">
        <v>600</v>
      </c>
    </row>
    <row r="24" spans="5:12" x14ac:dyDescent="0.8">
      <c r="E24" s="27">
        <v>19</v>
      </c>
      <c r="F24" s="8" t="s">
        <v>49</v>
      </c>
      <c r="G24" s="7" t="s">
        <v>16</v>
      </c>
      <c r="H24" s="7" t="s">
        <v>19</v>
      </c>
      <c r="I24" s="9">
        <v>600</v>
      </c>
    </row>
    <row r="25" spans="5:12" x14ac:dyDescent="0.8">
      <c r="E25" s="27">
        <v>20</v>
      </c>
      <c r="F25" s="8" t="s">
        <v>50</v>
      </c>
      <c r="G25" s="6" t="s">
        <v>15</v>
      </c>
      <c r="H25" s="7" t="s">
        <v>20</v>
      </c>
      <c r="I25" s="9">
        <v>200</v>
      </c>
    </row>
    <row r="26" spans="5:12" x14ac:dyDescent="0.8">
      <c r="E26" s="27">
        <v>21</v>
      </c>
      <c r="F26" s="8" t="s">
        <v>51</v>
      </c>
      <c r="G26" s="7" t="s">
        <v>16</v>
      </c>
      <c r="H26" s="7" t="s">
        <v>19</v>
      </c>
      <c r="I26" s="9">
        <v>600</v>
      </c>
    </row>
    <row r="27" spans="5:12" x14ac:dyDescent="0.8">
      <c r="E27" s="27">
        <v>22</v>
      </c>
      <c r="F27" s="8" t="s">
        <v>52</v>
      </c>
      <c r="G27" s="6" t="s">
        <v>15</v>
      </c>
      <c r="H27" s="7" t="s">
        <v>20</v>
      </c>
      <c r="I27" s="9">
        <v>200</v>
      </c>
    </row>
    <row r="28" spans="5:12" x14ac:dyDescent="0.8">
      <c r="E28" s="27">
        <v>23</v>
      </c>
      <c r="F28" s="8" t="s">
        <v>53</v>
      </c>
      <c r="G28" s="7" t="s">
        <v>16</v>
      </c>
      <c r="H28" s="7" t="s">
        <v>20</v>
      </c>
      <c r="I28" s="9">
        <v>200</v>
      </c>
    </row>
    <row r="29" spans="5:12" x14ac:dyDescent="0.8">
      <c r="E29" s="27">
        <v>24</v>
      </c>
      <c r="F29" s="8" t="s">
        <v>54</v>
      </c>
      <c r="G29" s="6" t="s">
        <v>15</v>
      </c>
      <c r="H29" s="7" t="s">
        <v>19</v>
      </c>
      <c r="I29" s="9">
        <v>600</v>
      </c>
    </row>
    <row r="30" spans="5:12" x14ac:dyDescent="0.8">
      <c r="G30" s="7" t="s">
        <v>0</v>
      </c>
    </row>
  </sheetData>
  <sheetProtection algorithmName="SHA-512" hashValue="EigVmf8+v6+M1NwgfDnfYGVecOp2ofnU9f9l4oz4yrmqkVVRASyl3g4PjkHhEwsaLFp4WsJbYgGotLAtRwDdpQ==" saltValue="QeKNP20vHQjvlVzPCu09sA==" spinCount="100000" sheet="1" objects="1" scenarios="1"/>
  <mergeCells count="3">
    <mergeCell ref="J14:L14"/>
    <mergeCell ref="J16:L16"/>
    <mergeCell ref="J18:L18"/>
  </mergeCells>
  <conditionalFormatting sqref="E5:I1048576">
    <cfRule type="expression" dxfId="7" priority="2">
      <formula>OR($F5&lt;&gt;"")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21AC-60B1-4E22-A5BA-395CE6BB464B}">
  <sheetPr>
    <tabColor rgb="FFFF0000"/>
  </sheetPr>
  <dimension ref="E1:M30"/>
  <sheetViews>
    <sheetView topLeftCell="D21" workbookViewId="0">
      <selection activeCell="J5" sqref="J5"/>
    </sheetView>
  </sheetViews>
  <sheetFormatPr defaultRowHeight="29.25" x14ac:dyDescent="0.8"/>
  <cols>
    <col min="1" max="4" width="9.140625" style="24"/>
    <col min="5" max="5" width="17.28515625" style="27" customWidth="1"/>
    <col min="6" max="6" width="45.7109375" style="37" customWidth="1"/>
    <col min="7" max="7" width="14" style="35" customWidth="1"/>
    <col min="8" max="8" width="22.42578125" style="35" customWidth="1"/>
    <col min="9" max="9" width="16.5703125" style="36" customWidth="1"/>
    <col min="10" max="10" width="64.85546875" style="24" customWidth="1"/>
    <col min="11" max="11" width="37.28515625" style="24" customWidth="1"/>
    <col min="12" max="16384" width="9.140625" style="24"/>
  </cols>
  <sheetData>
    <row r="1" spans="5:13" x14ac:dyDescent="0.8">
      <c r="F1" s="24"/>
      <c r="G1" s="24"/>
      <c r="H1" s="24"/>
      <c r="I1" s="24"/>
    </row>
    <row r="2" spans="5:13" x14ac:dyDescent="0.8">
      <c r="F2" s="24"/>
      <c r="G2" s="24"/>
      <c r="H2" s="24"/>
      <c r="I2" s="24"/>
    </row>
    <row r="3" spans="5:13" x14ac:dyDescent="0.8">
      <c r="F3" s="24"/>
      <c r="G3" s="24"/>
      <c r="H3" s="24"/>
      <c r="I3" s="24"/>
    </row>
    <row r="4" spans="5:13" x14ac:dyDescent="0.8">
      <c r="E4" s="29"/>
      <c r="F4" s="25" t="s">
        <v>1</v>
      </c>
      <c r="G4" s="25"/>
      <c r="H4" s="25"/>
      <c r="I4" s="25"/>
    </row>
    <row r="5" spans="5:13" x14ac:dyDescent="0.8">
      <c r="E5" s="26" t="s">
        <v>2</v>
      </c>
      <c r="F5" s="26" t="s">
        <v>6</v>
      </c>
      <c r="G5" s="26" t="s">
        <v>3</v>
      </c>
      <c r="H5" s="26" t="s">
        <v>4</v>
      </c>
      <c r="I5" s="26" t="s">
        <v>5</v>
      </c>
    </row>
    <row r="6" spans="5:13" x14ac:dyDescent="0.8">
      <c r="E6" s="27" cm="1">
        <f t="array" ref="E6:E29">_xlfn.SEQUENCE(COUNTA(F6:F195))</f>
        <v>1</v>
      </c>
      <c r="F6" s="34" t="s">
        <v>7</v>
      </c>
      <c r="G6" s="35" t="s">
        <v>15</v>
      </c>
      <c r="H6" s="35" t="s">
        <v>17</v>
      </c>
      <c r="I6" s="9">
        <v>800</v>
      </c>
    </row>
    <row r="7" spans="5:13" x14ac:dyDescent="0.8">
      <c r="E7" s="27">
        <v>2</v>
      </c>
      <c r="F7" s="34" t="s">
        <v>8</v>
      </c>
      <c r="G7" s="35" t="s">
        <v>16</v>
      </c>
      <c r="H7" s="35" t="s">
        <v>18</v>
      </c>
      <c r="I7" s="9">
        <v>500</v>
      </c>
    </row>
    <row r="8" spans="5:13" x14ac:dyDescent="0.8">
      <c r="E8" s="27">
        <v>3</v>
      </c>
      <c r="F8" s="34" t="s">
        <v>9</v>
      </c>
      <c r="G8" s="35" t="s">
        <v>15</v>
      </c>
      <c r="H8" s="35" t="s">
        <v>19</v>
      </c>
      <c r="I8" s="9">
        <v>600</v>
      </c>
    </row>
    <row r="9" spans="5:13" x14ac:dyDescent="0.8">
      <c r="E9" s="27">
        <v>4</v>
      </c>
      <c r="F9" s="34" t="s">
        <v>10</v>
      </c>
      <c r="G9" s="35" t="s">
        <v>15</v>
      </c>
      <c r="H9" s="35" t="s">
        <v>20</v>
      </c>
      <c r="I9" s="9">
        <v>200</v>
      </c>
    </row>
    <row r="10" spans="5:13" x14ac:dyDescent="0.8">
      <c r="E10" s="27">
        <v>5</v>
      </c>
      <c r="F10" s="34" t="s">
        <v>11</v>
      </c>
      <c r="G10" s="35" t="s">
        <v>16</v>
      </c>
      <c r="H10" s="35" t="s">
        <v>19</v>
      </c>
      <c r="I10" s="9">
        <v>600</v>
      </c>
    </row>
    <row r="11" spans="5:13" x14ac:dyDescent="0.8">
      <c r="E11" s="27">
        <v>6</v>
      </c>
      <c r="F11" s="34" t="s">
        <v>12</v>
      </c>
      <c r="G11" s="35" t="s">
        <v>15</v>
      </c>
      <c r="H11" s="35" t="s">
        <v>20</v>
      </c>
      <c r="I11" s="9">
        <v>200</v>
      </c>
    </row>
    <row r="12" spans="5:13" x14ac:dyDescent="0.8">
      <c r="E12" s="27">
        <v>7</v>
      </c>
      <c r="F12" s="34" t="s">
        <v>13</v>
      </c>
      <c r="G12" s="35" t="s">
        <v>16</v>
      </c>
      <c r="H12" s="35" t="s">
        <v>22</v>
      </c>
      <c r="I12" s="9">
        <v>120</v>
      </c>
    </row>
    <row r="13" spans="5:13" x14ac:dyDescent="0.8">
      <c r="E13" s="27">
        <v>8</v>
      </c>
      <c r="F13" s="34" t="s">
        <v>14</v>
      </c>
      <c r="G13" s="35" t="s">
        <v>15</v>
      </c>
      <c r="H13" s="35" t="s">
        <v>21</v>
      </c>
      <c r="I13" s="9">
        <v>130</v>
      </c>
      <c r="J13" s="33" t="s">
        <v>55</v>
      </c>
      <c r="K13" s="38"/>
    </row>
    <row r="14" spans="5:13" x14ac:dyDescent="0.8">
      <c r="E14" s="27">
        <v>9</v>
      </c>
      <c r="F14" s="34" t="s">
        <v>37</v>
      </c>
      <c r="G14" s="35" t="s">
        <v>16</v>
      </c>
      <c r="H14" s="35" t="s">
        <v>19</v>
      </c>
      <c r="I14" s="9">
        <v>600</v>
      </c>
      <c r="J14" s="31" t="str">
        <f ca="1">"រូបមន្ដ៖ "&amp;IF(K13="","",_xlfn.FORMULATEXT(K13))</f>
        <v xml:space="preserve">រូបមន្ដ៖ </v>
      </c>
      <c r="K14" s="31"/>
      <c r="L14" s="31"/>
      <c r="M14" s="31"/>
    </row>
    <row r="15" spans="5:13" x14ac:dyDescent="0.8">
      <c r="E15" s="27">
        <v>10</v>
      </c>
      <c r="F15" s="34" t="s">
        <v>40</v>
      </c>
      <c r="G15" s="35" t="s">
        <v>15</v>
      </c>
      <c r="H15" s="35" t="s">
        <v>22</v>
      </c>
      <c r="I15" s="9">
        <v>120</v>
      </c>
      <c r="J15" s="33" t="s">
        <v>56</v>
      </c>
      <c r="K15" s="38"/>
    </row>
    <row r="16" spans="5:13" x14ac:dyDescent="0.8">
      <c r="E16" s="27">
        <v>11</v>
      </c>
      <c r="F16" s="34" t="s">
        <v>41</v>
      </c>
      <c r="G16" s="35" t="s">
        <v>16</v>
      </c>
      <c r="H16" s="35" t="s">
        <v>22</v>
      </c>
      <c r="I16" s="9">
        <v>130</v>
      </c>
      <c r="J16" s="31" t="str">
        <f ca="1">"រូបមន្ដ៖ "&amp;IF(K15="","",_xlfn.FORMULATEXT(K15))</f>
        <v xml:space="preserve">រូបមន្ដ៖ </v>
      </c>
      <c r="K16" s="31"/>
      <c r="L16" s="31"/>
      <c r="M16" s="31"/>
    </row>
    <row r="17" spans="5:13" x14ac:dyDescent="0.8">
      <c r="E17" s="27">
        <v>12</v>
      </c>
      <c r="F17" s="34" t="s">
        <v>42</v>
      </c>
      <c r="G17" s="35" t="s">
        <v>15</v>
      </c>
      <c r="H17" s="35" t="s">
        <v>19</v>
      </c>
      <c r="I17" s="9">
        <v>600</v>
      </c>
      <c r="J17" s="33" t="s">
        <v>57</v>
      </c>
      <c r="K17" s="38"/>
    </row>
    <row r="18" spans="5:13" x14ac:dyDescent="0.8">
      <c r="E18" s="27">
        <v>13</v>
      </c>
      <c r="F18" s="34" t="s">
        <v>43</v>
      </c>
      <c r="G18" s="35" t="s">
        <v>16</v>
      </c>
      <c r="H18" s="35" t="s">
        <v>18</v>
      </c>
      <c r="I18" s="9">
        <v>500</v>
      </c>
      <c r="J18" s="31" t="str">
        <f ca="1">"រូបមន្ដ៖ "&amp;IF(K17="","",_xlfn.FORMULATEXT(K17))</f>
        <v xml:space="preserve">រូបមន្ដ៖ </v>
      </c>
      <c r="K18" s="31"/>
      <c r="L18" s="31"/>
      <c r="M18" s="31"/>
    </row>
    <row r="19" spans="5:13" x14ac:dyDescent="0.8">
      <c r="E19" s="27">
        <v>14</v>
      </c>
      <c r="F19" s="34" t="s">
        <v>44</v>
      </c>
      <c r="G19" s="35" t="s">
        <v>15</v>
      </c>
      <c r="H19" s="35" t="s">
        <v>18</v>
      </c>
      <c r="I19" s="9">
        <v>500</v>
      </c>
      <c r="J19" s="24" t="s">
        <v>58</v>
      </c>
      <c r="K19" s="38"/>
    </row>
    <row r="20" spans="5:13" x14ac:dyDescent="0.8">
      <c r="E20" s="27">
        <v>15</v>
      </c>
      <c r="F20" s="34" t="s">
        <v>45</v>
      </c>
      <c r="G20" s="35" t="s">
        <v>16</v>
      </c>
      <c r="H20" s="35" t="s">
        <v>18</v>
      </c>
      <c r="I20" s="9">
        <v>500</v>
      </c>
      <c r="J20" s="31" t="str">
        <f ca="1">"រូបមន្ដ៖ "&amp;IF(K19="","",_xlfn.FORMULATEXT(K19))</f>
        <v xml:space="preserve">រូបមន្ដ៖ </v>
      </c>
      <c r="K20" s="31"/>
      <c r="L20" s="31"/>
      <c r="M20" s="31"/>
    </row>
    <row r="21" spans="5:13" x14ac:dyDescent="0.8">
      <c r="E21" s="27">
        <v>16</v>
      </c>
      <c r="F21" s="34" t="s">
        <v>46</v>
      </c>
      <c r="G21" s="35" t="s">
        <v>15</v>
      </c>
      <c r="H21" s="35" t="s">
        <v>19</v>
      </c>
      <c r="I21" s="9">
        <v>600</v>
      </c>
    </row>
    <row r="22" spans="5:13" x14ac:dyDescent="0.8">
      <c r="E22" s="27">
        <v>17</v>
      </c>
      <c r="F22" s="34" t="s">
        <v>47</v>
      </c>
      <c r="G22" s="35" t="s">
        <v>16</v>
      </c>
      <c r="H22" s="35" t="s">
        <v>22</v>
      </c>
      <c r="I22" s="9">
        <v>130</v>
      </c>
    </row>
    <row r="23" spans="5:13" x14ac:dyDescent="0.8">
      <c r="E23" s="27">
        <v>18</v>
      </c>
      <c r="F23" s="34" t="s">
        <v>48</v>
      </c>
      <c r="G23" s="35" t="s">
        <v>15</v>
      </c>
      <c r="H23" s="35" t="s">
        <v>19</v>
      </c>
      <c r="I23" s="9">
        <v>600</v>
      </c>
    </row>
    <row r="24" spans="5:13" x14ac:dyDescent="0.8">
      <c r="E24" s="27">
        <v>19</v>
      </c>
      <c r="F24" s="34" t="s">
        <v>49</v>
      </c>
      <c r="G24" s="35" t="s">
        <v>16</v>
      </c>
      <c r="H24" s="35" t="s">
        <v>19</v>
      </c>
      <c r="I24" s="9">
        <v>600</v>
      </c>
    </row>
    <row r="25" spans="5:13" x14ac:dyDescent="0.8">
      <c r="E25" s="27">
        <v>20</v>
      </c>
      <c r="F25" s="34" t="s">
        <v>50</v>
      </c>
      <c r="G25" s="35" t="s">
        <v>15</v>
      </c>
      <c r="H25" s="35" t="s">
        <v>20</v>
      </c>
      <c r="I25" s="9">
        <v>200</v>
      </c>
    </row>
    <row r="26" spans="5:13" x14ac:dyDescent="0.8">
      <c r="E26" s="27">
        <v>21</v>
      </c>
      <c r="F26" s="34" t="s">
        <v>51</v>
      </c>
      <c r="G26" s="35" t="s">
        <v>16</v>
      </c>
      <c r="H26" s="35" t="s">
        <v>19</v>
      </c>
      <c r="I26" s="9">
        <v>600</v>
      </c>
    </row>
    <row r="27" spans="5:13" x14ac:dyDescent="0.8">
      <c r="E27" s="27">
        <v>22</v>
      </c>
      <c r="F27" s="34" t="s">
        <v>52</v>
      </c>
      <c r="G27" s="35" t="s">
        <v>15</v>
      </c>
      <c r="H27" s="35" t="s">
        <v>20</v>
      </c>
      <c r="I27" s="9">
        <v>200</v>
      </c>
    </row>
    <row r="28" spans="5:13" x14ac:dyDescent="0.8">
      <c r="E28" s="27">
        <v>23</v>
      </c>
      <c r="F28" s="34" t="s">
        <v>53</v>
      </c>
      <c r="G28" s="35" t="s">
        <v>16</v>
      </c>
      <c r="H28" s="35" t="s">
        <v>20</v>
      </c>
      <c r="I28" s="9">
        <v>130</v>
      </c>
    </row>
    <row r="29" spans="5:13" x14ac:dyDescent="0.8">
      <c r="E29" s="27">
        <v>24</v>
      </c>
      <c r="F29" s="34" t="s">
        <v>54</v>
      </c>
      <c r="G29" s="35" t="s">
        <v>15</v>
      </c>
      <c r="H29" s="35" t="s">
        <v>19</v>
      </c>
      <c r="I29" s="9">
        <v>600</v>
      </c>
    </row>
    <row r="30" spans="5:13" x14ac:dyDescent="0.8">
      <c r="G30" s="35" t="s">
        <v>0</v>
      </c>
    </row>
  </sheetData>
  <sheetProtection algorithmName="SHA-512" hashValue="8cTB7fEBzGJQSBzkuNN/j6e89rO5BK0UlFbzcMpfL1IatkPlTno0dDl40oRFq0wV+aLOIWEpvIOo8o3Rth5Exw==" saltValue="juVLl2HNqIsfyh+rSgmaOg==" spinCount="100000" sheet="1" objects="1" scenarios="1"/>
  <mergeCells count="4">
    <mergeCell ref="J14:M14"/>
    <mergeCell ref="J16:M16"/>
    <mergeCell ref="J18:M18"/>
    <mergeCell ref="J20:M20"/>
  </mergeCells>
  <conditionalFormatting sqref="E5:I1048576">
    <cfRule type="expression" dxfId="6" priority="2">
      <formula>OR($F5&lt;&gt;"")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MIN</vt:lpstr>
      <vt:lpstr>MAX</vt:lpstr>
      <vt:lpstr>AVERAGE</vt:lpstr>
      <vt:lpstr>COUNT</vt:lpstr>
      <vt:lpstr>COUNTA</vt:lpstr>
      <vt:lpstr>COUNTIF</vt:lpstr>
      <vt:lpstr>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Veasna</dc:creator>
  <cp:lastModifiedBy>Man Veasna</cp:lastModifiedBy>
  <dcterms:created xsi:type="dcterms:W3CDTF">2026-06-09T14:06:41Z</dcterms:created>
  <dcterms:modified xsi:type="dcterms:W3CDTF">2026-06-10T00:45:56Z</dcterms:modified>
</cp:coreProperties>
</file>